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7bb4f7708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3c74e818de7442e3"/>
    <x:sheet xmlns:r="http://schemas.openxmlformats.org/officeDocument/2006/relationships" name="Use_Cases" sheetId="2" r:id="Rc0400d91d7b54c1d"/>
    <x:sheet xmlns:r="http://schemas.openxmlformats.org/officeDocument/2006/relationships" name="Prioritization" sheetId="3" r:id="Rbd9e72763f3e4e4b"/>
    <x:sheet xmlns:r="http://schemas.openxmlformats.org/officeDocument/2006/relationships" name="Department_Summary" sheetId="4" r:id="R357c0ca3dd674c57"/>
    <x:sheet xmlns:r="http://schemas.openxmlformats.org/officeDocument/2006/relationships" name="Roadmap" sheetId="5" r:id="Rc7dc139d3b594cf7"/>
    <x:sheet xmlns:r="http://schemas.openxmlformats.org/officeDocument/2006/relationships" name="Stakeholders" sheetId="6" r:id="R2f8c0dce941f4421"/>
    <x:sheet xmlns:r="http://schemas.openxmlformats.org/officeDocument/2006/relationships" name="Risk_Register" sheetId="7" r:id="R1b5f8294f8bb43c5"/>
    <x:sheet xmlns:r="http://schemas.openxmlformats.org/officeDocument/2006/relationships" name="Executive_Dashboard" sheetId="8" r:id="Rf5f1b87adf0c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17365D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fefd807994019" /><Relationship Type="http://schemas.openxmlformats.org/officeDocument/2006/relationships/theme" Target="/xl/theme/theme1.xml" Id="Rbc039943199f4a5c" /><Relationship Type="http://schemas.openxmlformats.org/officeDocument/2006/relationships/sharedStrings" Target="/xl/sharedStrings.xml" Id="Rc7531eb5123c4f3c" /><Relationship Type="http://schemas.openxmlformats.org/officeDocument/2006/relationships/worksheet" Target="/xl/worksheets/sheet1.xml" Id="R3c74e818de7442e3" /><Relationship Type="http://schemas.openxmlformats.org/officeDocument/2006/relationships/worksheet" Target="/xl/worksheets/sheet2.xml" Id="Rc0400d91d7b54c1d" /><Relationship Type="http://schemas.openxmlformats.org/officeDocument/2006/relationships/worksheet" Target="/xl/worksheets/sheet3.xml" Id="Rbd9e72763f3e4e4b" /><Relationship Type="http://schemas.openxmlformats.org/officeDocument/2006/relationships/worksheet" Target="/xl/worksheets/sheet4.xml" Id="R357c0ca3dd674c57" /><Relationship Type="http://schemas.openxmlformats.org/officeDocument/2006/relationships/worksheet" Target="/xl/worksheets/sheet5.xml" Id="Rc7dc139d3b594cf7" /><Relationship Type="http://schemas.openxmlformats.org/officeDocument/2006/relationships/worksheet" Target="/xl/worksheets/sheet6.xml" Id="R2f8c0dce941f4421" /><Relationship Type="http://schemas.openxmlformats.org/officeDocument/2006/relationships/worksheet" Target="/xl/worksheets/sheet7.xml" Id="R1b5f8294f8bb43c5" /><Relationship Type="http://schemas.openxmlformats.org/officeDocument/2006/relationships/worksheet" Target="/xl/worksheets/sheet8.xml" Id="Rf5f1b87adf0c46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41b621880b404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380533f55a64d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Opportunity Portfolio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Use_Cases</c:v>
          </c:tx>
          <c:cat>
            <c:strRef>
              <c:f>'Department_Summary'!$A$2:$A$9</c:f>
              <c:strCache>
                <c:ptCount val="0"/>
              </c:strCache>
            </c:strRef>
          </c:cat>
          <c:val>
            <c:numRef>
              <c:f>'Department_Summary'!$B$2:$B$9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Average_Priority_Score</c:v>
          </c:tx>
          <c:cat>
            <c:strRef>
              <c:f>'Department_Summary'!$A$2:$A$9</c:f>
              <c:strCache>
                <c:ptCount val="0"/>
              </c:strCache>
            </c:strRef>
          </c:cat>
          <c:val>
            <c:numRef>
              <c:f>'Department_Summary'!$C$2:$C$9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Priority Score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Average Priority Score</c:v>
          </c:tx>
          <c:cat>
            <c:strRef>
              <c:f>'Executive_Dashboard'!$A$19:$A$26</c:f>
              <c:strCache>
                <c:ptCount val="0"/>
              </c:strCache>
            </c:strRef>
          </c:cat>
          <c:val>
            <c:numRef>
              <c:f>'Executive_Dashboard'!$B$19:$B$26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41b621880b404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0533f55a64d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seCasesTable" displayName="UseCasesTable" ref="A1:O25" headerRowCount="1" totalsRowCount="0" totalsRowShown="0">
  <x:tableColumns count="15">
    <x:tableColumn id="1" name="Use_Case_ID"/>
    <x:tableColumn id="2" name="Department"/>
    <x:tableColumn id="3" name="Use_Case"/>
    <x:tableColumn id="4" name="Business_Problem"/>
    <x:tableColumn id="5" name="AI_Approach"/>
    <x:tableColumn id="6" name="Business_Value_1_5"/>
    <x:tableColumn id="7" name="Feasibility_1_5"/>
    <x:tableColumn id="8" name="Data_Readiness_1_5"/>
    <x:tableColumn id="9" name="Implementation_Effort_1_5"/>
    <x:tableColumn id="10" name="Risk_1_5"/>
    <x:tableColumn id="11" name="Estimated_Annual_Value_kEUR"/>
    <x:tableColumn id="12" name="Estimated_Implementation_Cost_kEUR"/>
    <x:tableColumn id="13" name="Time_to_Implement_Months"/>
    <x:tableColumn id="14" name="Primary_Stakeholders"/>
    <x:tableColumn id="15" name="Student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izationTable" displayName="PrioritizationTable" ref="A1:N25" headerRowCount="1" totalsRowCount="0" totalsRowShown="0">
  <x:tableColumns count="14">
    <x:tableColumn id="1" name="Use_Case_ID"/>
    <x:tableColumn id="2" name="Department"/>
    <x:tableColumn id="3" name="Use_Case"/>
    <x:tableColumn id="4" name="Business_Value"/>
    <x:tableColumn id="5" name="Feasibility"/>
    <x:tableColumn id="6" name="Data_Readiness"/>
    <x:tableColumn id="7" name="Ease_of_Implementation"/>
    <x:tableColumn id="8" name="Risk_Advantage"/>
    <x:tableColumn id="9" name="ROI_Ratio"/>
    <x:tableColumn id="10" name="ROI_Score"/>
    <x:tableColumn id="11" name="Priority_Score"/>
    <x:tableColumn id="12" name="Priority_Tier"/>
    <x:tableColumn id="13" name="Quick_Win"/>
    <x:tableColumn id="14" name="Recommended_Ph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SummaryTable" displayName="DepartmentSummaryTable" ref="A1:G9" headerRowCount="1" totalsRowCount="0" totalsRowShown="0">
  <x:tableColumns count="7">
    <x:tableColumn id="1" name="Department"/>
    <x:tableColumn id="2" name="Use_Cases"/>
    <x:tableColumn id="3" name="Average_Priority_Score"/>
    <x:tableColumn id="4" name="High_Priority"/>
    <x:tableColumn id="5" name="Quick_Wins"/>
    <x:tableColumn id="6" name="Annual_Value_kEUR"/>
    <x:tableColumn id="7" name="Implementation_Cost_kEU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admapTable" displayName="RoadmapTable" ref="A1:I11" headerRowCount="1" totalsRowCount="0" totalsRowShown="0">
  <x:tableColumns count="9">
    <x:tableColumn id="1" name="Roadmap_ID"/>
    <x:tableColumn id="2" name="Phase"/>
    <x:tableColumn id="3" name="Use_Case_ID"/>
    <x:tableColumn id="4" name="Use_Case"/>
    <x:tableColumn id="5" name="Department"/>
    <x:tableColumn id="6" name="Timing"/>
    <x:tableColumn id="7" name="Business_Owner"/>
    <x:tableColumn id="8" name="Pilot_Success_Metric"/>
    <x:tableColumn id="9" name="Implementation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keholdersTable" displayName="StakeholdersTable" ref="A1:F9" headerRowCount="1" totalsRowCount="0" totalsRowShown="0">
  <x:tableColumns count="6">
    <x:tableColumn id="1" name="Department"/>
    <x:tableColumn id="2" name="Executive_Sponsor"/>
    <x:tableColumn id="3" name="Process_Owner"/>
    <x:tableColumn id="4" name="Data_Owner"/>
    <x:tableColumn id="5" name="IT_Partner"/>
    <x:tableColumn id="6" name="Main_Concer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RegisterTable" displayName="RiskRegisterTable" ref="A1:I9" headerRowCount="1" totalsRowCount="0" totalsRowShown="0">
  <x:tableColumns count="9">
    <x:tableColumn id="1" name="Risk_ID"/>
    <x:tableColumn id="2" name="Risk"/>
    <x:tableColumn id="3" name="Description"/>
    <x:tableColumn id="4" name="Likelihood_1_5"/>
    <x:tableColumn id="5" name="Impact_1_5"/>
    <x:tableColumn id="6" name="Risk_Score"/>
    <x:tableColumn id="7" name="Rating"/>
    <x:tableColumn id="8" name="Mitigation"/>
    <x:tableColumn id="9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ab6050c4ef42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0d0996b3f14f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8d60e7b4fa545c9" /><Relationship Type="http://schemas.openxmlformats.org/officeDocument/2006/relationships/table" Target="/xl/tables/table3.xml" Id="Raccd0b841e1d4f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e993e47b2043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a250fc00ef4a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4d90e4f99945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276cdeda0fb3404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2" t="str">
        <x:v>Enterprise AI &amp; Digital Transformation - Use Case Prioritization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</x:row>
    <x:row r="4" ht="66" hidden="0" customHeight="1">
      <x:c r="A4" s="24" t="str">
        <x:v>Project Type</x:v>
      </x:c>
      <x:c r="B4" s="25" t="str">
        <x:v>Independent student portfolio case study</x:v>
      </x:c>
      <x:c r="C4" s="23"/>
      <x:c r="D4" s="23"/>
      <x:c r="E4" s="23"/>
      <x:c r="F4" s="23"/>
      <x:c r="G4" s="23"/>
      <x:c r="H4" s="23"/>
    </x:row>
    <x:row r="5" ht="52.79999923706055" hidden="0" customHeight="1">
      <x:c r="A5" s="24" t="str">
        <x:v>Company</x:v>
      </x:c>
      <x:c r="B5" s="25" t="str">
        <x:v>NovaTech Industries GmbH (fictional)</x:v>
      </x:c>
      <x:c r="C5" s="23"/>
      <x:c r="D5" s="23"/>
      <x:c r="E5" s="23"/>
      <x:c r="F5" s="23"/>
      <x:c r="G5" s="23"/>
      <x:c r="H5" s="23"/>
    </x:row>
    <x:row r="6" ht="145.1999969482422" hidden="0" customHeight="1">
      <x:c r="A6" s="24" t="str">
        <x:v>Objective</x:v>
      </x:c>
      <x:c r="B6" s="25" t="str">
        <x:v>Prioritize AI opportunities across business functions and propose a practical rollout roadmap.</x:v>
      </x:c>
      <x:c r="C6" s="23"/>
      <x:c r="D6" s="23"/>
      <x:c r="E6" s="23"/>
      <x:c r="F6" s="23"/>
      <x:c r="G6" s="23"/>
      <x:c r="H6" s="23"/>
    </x:row>
    <x:row r="7" ht="66" hidden="0" customHeight="1">
      <x:c r="A7" s="24" t="str">
        <x:v>Scope</x:v>
      </x:c>
      <x:c r="B7" s="25" t="str">
        <x:v>24 use cases across 8 departments</x:v>
      </x:c>
      <x:c r="C7" s="23"/>
      <x:c r="D7" s="23"/>
      <x:c r="E7" s="23"/>
      <x:c r="F7" s="23"/>
      <x:c r="G7" s="23"/>
      <x:c r="H7" s="23"/>
    </x:row>
    <x:row r="8" ht="118.80000305175781" hidden="0" customHeight="1">
      <x:c r="A8" s="24" t="str">
        <x:v>Core Output</x:v>
      </x:c>
      <x:c r="B8" s="25" t="str">
        <x:v>Scoring model, quick wins, roadmap, stakeholders and risk register</x:v>
      </x:c>
      <x:c r="C8" s="23"/>
      <x:c r="D8" s="23"/>
      <x:c r="E8" s="23"/>
      <x:c r="F8" s="23"/>
      <x:c r="G8" s="23"/>
      <x:c r="H8" s="23"/>
    </x:row>
    <x:row r="9" ht="105.5999984741211" hidden="0" customHeight="1">
      <x:c r="A9" s="24" t="str">
        <x:v>Main Tools</x:v>
      </x:c>
      <x:c r="B9" s="25" t="str">
        <x:v>Excel, business analysis, AI use-case evaluation, process mapping</x:v>
      </x:c>
      <x:c r="C9" s="23"/>
      <x:c r="D9" s="23"/>
      <x:c r="E9" s="23"/>
      <x:c r="F9" s="23"/>
      <x:c r="G9" s="23"/>
      <x:c r="H9" s="23"/>
    </x:row>
    <x:row r="10" ht="79.19999694824219" hidden="0" customHeight="1">
      <x:c r="A10" s="24" t="str">
        <x:v>Data</x:v>
      </x:c>
      <x:c r="B10" s="25" t="str">
        <x:v>100% synthetic; no real company information used</x:v>
      </x:c>
      <x:c r="C10" s="23"/>
      <x:c r="D10" s="23"/>
      <x:c r="E10" s="23"/>
      <x:c r="F10" s="23"/>
      <x:c r="G10" s="23"/>
      <x:c r="H10" s="23"/>
    </x:row>
    <x:row r="11" ht="92.4000015258789" hidden="0" customHeight="1">
      <x:c r="A11" s="24" t="str">
        <x:v>Recommended Use</x:v>
      </x:c>
      <x:c r="B11" s="25" t="str">
        <x:v>GitHub evidence + portfolio case study + interview discussion</x:v>
      </x:c>
      <x:c r="C11" s="23"/>
      <x:c r="D11" s="23"/>
      <x:c r="E11" s="23"/>
      <x:c r="F11" s="23"/>
      <x:c r="G11" s="23"/>
      <x:c r="H11" s="23"/>
    </x:row>
    <x:row r="12" ht="158.39999389648438" hidden="0" customHeight="1">
      <x:c r="A12" s="24" t="str">
        <x:v>Important Note</x:v>
      </x:c>
      <x:c r="B12" s="25" t="str">
        <x:v>This project is an educational exercise, not an AI implementation or consulting engagement.</x:v>
      </x:c>
      <x:c r="C12" s="23"/>
      <x:c r="D12" s="23"/>
      <x:c r="E12" s="23"/>
      <x:c r="F12" s="23"/>
      <x:c r="G12" s="23"/>
      <x:c r="H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</x:row>
    <x:row r="14" ht="15" hidden="0" customHeight="1">
      <x:c r="A14" s="26" t="str">
        <x:v>How to read the workbook</x:v>
      </x:c>
      <x:c r="B14" s="26" t="str"/>
      <x:c r="C14" s="26" t="str"/>
      <x:c r="D14" s="26" t="str"/>
      <x:c r="E14" s="26" t="str"/>
      <x:c r="F14" s="26" t="str"/>
      <x:c r="G14" s="26" t="str"/>
      <x:c r="H14" s="26" t="str"/>
    </x:row>
    <x:row r="15" ht="66" hidden="0" customHeight="1">
      <x:c r="A15" s="25" t="str">
        <x:v>1</x:v>
      </x:c>
      <x:c r="B15" s="25" t="str">
        <x:v>Use_Cases</x:v>
      </x:c>
      <x:c r="C15" s="25" t="str">
        <x:v>The raw assessment inputs for all 24 AI ideas.</x:v>
      </x:c>
      <x:c r="D15" s="23" t="str"/>
      <x:c r="E15" s="23" t="str"/>
      <x:c r="F15" s="23" t="str"/>
      <x:c r="G15" s="23" t="str"/>
      <x:c r="H15" s="23" t="str"/>
    </x:row>
    <x:row r="16" ht="132" hidden="0" customHeight="1">
      <x:c r="A16" s="25" t="str">
        <x:v>2</x:v>
      </x:c>
      <x:c r="B16" s="25" t="str">
        <x:v>Prioritization</x:v>
      </x:c>
      <x:c r="C16" s="25" t="str">
        <x:v>Formula-driven score from business value, feasibility, data, effort, risk and ROI.</x:v>
      </x:c>
      <x:c r="D16" s="23" t="str"/>
      <x:c r="E16" s="23" t="str"/>
      <x:c r="F16" s="23" t="str"/>
      <x:c r="G16" s="23" t="str"/>
      <x:c r="H16" s="23" t="str"/>
    </x:row>
    <x:row r="17" ht="79.19999694824219" hidden="0" customHeight="1">
      <x:c r="A17" s="25" t="str">
        <x:v>3</x:v>
      </x:c>
      <x:c r="B17" s="25" t="str">
        <x:v>Department_Summary</x:v>
      </x:c>
      <x:c r="C17" s="25" t="str">
        <x:v>Compares the portfolio by business function.</x:v>
      </x:c>
      <x:c r="D17" s="23" t="str"/>
      <x:c r="E17" s="23" t="str"/>
      <x:c r="F17" s="23" t="str"/>
      <x:c r="G17" s="23" t="str"/>
      <x:c r="H17" s="23" t="str"/>
    </x:row>
    <x:row r="18" ht="132" hidden="0" customHeight="1">
      <x:c r="A18" s="25" t="str">
        <x:v>4</x:v>
      </x:c>
      <x:c r="B18" s="25" t="str">
        <x:v>Roadmap / Stakeholders / Risk_Register</x:v>
      </x:c>
      <x:c r="C18" s="25" t="str">
        <x:v>Shows how the selected ideas could be taken from analysis into delivery.</x:v>
      </x:c>
      <x:c r="D18" s="23" t="str"/>
      <x:c r="E18" s="23" t="str"/>
      <x:c r="F18" s="23" t="str"/>
      <x:c r="G18" s="23" t="str"/>
      <x:c r="H18" s="23" t="str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58" hidden="0" customWidth="1"/>
    <x:col min="5" max="5" width="32" hidden="0" customWidth="1"/>
    <x:col min="6" max="6" width="13" hidden="0" customWidth="1"/>
    <x:col min="7" max="7" width="13" hidden="0" customWidth="1"/>
    <x:col min="8" max="8" width="14" hidden="0" customWidth="1"/>
    <x:col min="9" max="9" width="16" hidden="0" customWidth="1"/>
    <x:col min="10" max="10" width="10" hidden="0" customWidth="1"/>
    <x:col min="11" max="11" width="18" hidden="0" customWidth="1"/>
    <x:col min="12" max="12" width="20" hidden="0" customWidth="1"/>
    <x:col min="13" max="13" width="17" hidden="0" customWidth="1"/>
    <x:col min="14" max="14" width="34" hidden="0" customWidth="1"/>
    <x:col min="15" max="15" width="52" hidden="0" customWidth="1"/>
  </x:cols>
  <x:sheetData>
    <x:row r="1">
      <x:c r="A1" s="18" t="str">
        <x:v>Use_Case_ID</x:v>
      </x:c>
      <x:c r="B1" s="18" t="str">
        <x:v>Department</x:v>
      </x:c>
      <x:c r="C1" s="18" t="str">
        <x:v>Use_Case</x:v>
      </x:c>
      <x:c r="D1" s="18" t="str">
        <x:v>Business_Problem</x:v>
      </x:c>
      <x:c r="E1" s="18" t="str">
        <x:v>AI_Approach</x:v>
      </x:c>
      <x:c r="F1" s="18" t="str">
        <x:v>Business_Value_1_5</x:v>
      </x:c>
      <x:c r="G1" s="18" t="str">
        <x:v>Feasibility_1_5</x:v>
      </x:c>
      <x:c r="H1" s="18" t="str">
        <x:v>Data_Readiness_1_5</x:v>
      </x:c>
      <x:c r="I1" s="18" t="str">
        <x:v>Implementation_Effort_1_5</x:v>
      </x:c>
      <x:c r="J1" s="18" t="str">
        <x:v>Risk_1_5</x:v>
      </x:c>
      <x:c r="K1" s="18" t="str">
        <x:v>Estimated_Annual_Value_kEUR</x:v>
      </x:c>
      <x:c r="L1" s="18" t="str">
        <x:v>Estimated_Implementation_Cost_kEUR</x:v>
      </x:c>
      <x:c r="M1" s="18" t="str">
        <x:v>Time_to_Implement_Months</x:v>
      </x:c>
      <x:c r="N1" s="18" t="str">
        <x:v>Primary_Stakeholders</x:v>
      </x:c>
      <x:c r="O1" s="18" t="str">
        <x:v>Student_Notes</x:v>
      </x:c>
    </x:row>
    <x:row r="2">
      <x:c r="A2" s="14" t="str">
        <x:v>AI-01</x:v>
      </x:c>
      <x:c r="B2" s="14" t="str">
        <x:v>Finance</x:v>
      </x:c>
      <x:c r="C2" s="14" t="str">
        <x:v>Invoice Processing Automation</x:v>
      </x:c>
      <x:c r="D2" s="14" t="str">
        <x:v>Finance teams manually read supplier invoices, enter fields and match purchase orders.</x:v>
      </x:c>
      <x:c r="E2" s="14" t="str">
        <x:v>Document AI + workflow automation</x:v>
      </x:c>
      <x:c r="F2" s="14" t="n">
        <x:v>5</x:v>
      </x:c>
      <x:c r="G2" s="14" t="n">
        <x:v>5</x:v>
      </x:c>
      <x:c r="H2" s="14" t="n">
        <x:v>5</x:v>
      </x:c>
      <x:c r="I2" s="14" t="n">
        <x:v>2</x:v>
      </x:c>
      <x:c r="J2" s="14" t="n">
        <x:v>2</x:v>
      </x:c>
      <x:c r="K2" s="14" t="n">
        <x:v>260</x:v>
      </x:c>
      <x:c r="L2" s="14" t="n">
        <x:v>80</x:v>
      </x:c>
      <x:c r="M2" s="14" t="n">
        <x:v>3</x:v>
      </x:c>
      <x:c r="N2" s="14" t="str">
        <x:v>Finance AP; Procurement; IT</x:v>
      </x:c>
      <x:c r="O2" s="14" t="str">
        <x:v>Good quick-win candidate because the process is repetitive and structured.</x:v>
      </x:c>
    </x:row>
    <x:row r="3">
      <x:c r="A3" s="14" t="str">
        <x:v>AI-02</x:v>
      </x:c>
      <x:c r="B3" s="14" t="str">
        <x:v>Finance</x:v>
      </x:c>
      <x:c r="C3" s="14" t="str">
        <x:v>Financial Close Assistant</x:v>
      </x:c>
      <x:c r="D3" s="14" t="str">
        <x:v>Month-end close requires repeated checks, reconciliations and explanation of variances.</x:v>
      </x:c>
      <x:c r="E3" s="14" t="str">
        <x:v>GenAI assistant + rule-based checks</x:v>
      </x:c>
      <x:c r="F3" s="14" t="n">
        <x:v>4</x:v>
      </x:c>
      <x:c r="G3" s="14" t="n">
        <x:v>4</x:v>
      </x:c>
      <x:c r="H3" s="14" t="n">
        <x:v>4</x:v>
      </x:c>
      <x:c r="I3" s="14" t="n">
        <x:v>3</x:v>
      </x:c>
      <x:c r="J3" s="14" t="n">
        <x:v>3</x:v>
      </x:c>
      <x:c r="K3" s="14" t="n">
        <x:v>180</x:v>
      </x:c>
      <x:c r="L3" s="14" t="n">
        <x:v>90</x:v>
      </x:c>
      <x:c r="M3" s="14" t="n">
        <x:v>4</x:v>
      </x:c>
      <x:c r="N3" s="14" t="str">
        <x:v>Finance Controlling; Accounting; IT</x:v>
      </x:c>
      <x:c r="O3" s="14" t="str">
        <x:v>Human review remains required for accounting decisions.</x:v>
      </x:c>
    </x:row>
    <x:row r="4">
      <x:c r="A4" s="14" t="str">
        <x:v>AI-03</x:v>
      </x:c>
      <x:c r="B4" s="14" t="str">
        <x:v>Finance</x:v>
      </x:c>
      <x:c r="C4" s="14" t="str">
        <x:v>Cash Flow Forecasting</x:v>
      </x:c>
      <x:c r="D4" s="14" t="str">
        <x:v>Cash forecasts depend on manual consolidation of payment, sales and purchasing data.</x:v>
      </x:c>
      <x:c r="E4" s="14" t="str">
        <x:v>Machine learning forecasting</x:v>
      </x:c>
      <x:c r="F4" s="14" t="n">
        <x:v>4</x:v>
      </x:c>
      <x:c r="G4" s="14" t="n">
        <x:v>3</x:v>
      </x:c>
      <x:c r="H4" s="14" t="n">
        <x:v>4</x:v>
      </x:c>
      <x:c r="I4" s="14" t="n">
        <x:v>4</x:v>
      </x:c>
      <x:c r="J4" s="14" t="n">
        <x:v>3</x:v>
      </x:c>
      <x:c r="K4" s="14" t="n">
        <x:v>220</x:v>
      </x:c>
      <x:c r="L4" s="14" t="n">
        <x:v>140</x:v>
      </x:c>
      <x:c r="M4" s="14" t="n">
        <x:v>6</x:v>
      </x:c>
      <x:c r="N4" s="14" t="str">
        <x:v>Treasury; Finance; Data Team</x:v>
      </x:c>
      <x:c r="O4" s="14" t="str">
        <x:v>Value is meaningful, but model monitoring and data integration add complexity.</x:v>
      </x:c>
    </x:row>
    <x:row r="5">
      <x:c r="A5" s="14" t="str">
        <x:v>AI-04</x:v>
      </x:c>
      <x:c r="B5" s="14" t="str">
        <x:v>HR</x:v>
      </x:c>
      <x:c r="C5" s="14" t="str">
        <x:v>Employee Knowledge Assistant</x:v>
      </x:c>
      <x:c r="D5" s="14" t="str">
        <x:v>Employees spend time searching policies, onboarding material and internal process documentation.</x:v>
      </x:c>
      <x:c r="E5" s="14" t="str">
        <x:v>Enterprise search / RAG assistant</x:v>
      </x:c>
      <x:c r="F5" s="14" t="n">
        <x:v>4</x:v>
      </x:c>
      <x:c r="G5" s="14" t="n">
        <x:v>5</x:v>
      </x:c>
      <x:c r="H5" s="14" t="n">
        <x:v>4</x:v>
      </x:c>
      <x:c r="I5" s="14" t="n">
        <x:v>2</x:v>
      </x:c>
      <x:c r="J5" s="14" t="n">
        <x:v>3</x:v>
      </x:c>
      <x:c r="K5" s="14" t="n">
        <x:v>120</x:v>
      </x:c>
      <x:c r="L5" s="14" t="n">
        <x:v>45</x:v>
      </x:c>
      <x:c r="M5" s="14" t="n">
        <x:v>2</x:v>
      </x:c>
      <x:c r="N5" s="14" t="str">
        <x:v>HR; IT; Legal</x:v>
      </x:c>
      <x:c r="O5" s="14" t="str">
        <x:v>Use only approved internal knowledge sources and access controls.</x:v>
      </x:c>
    </x:row>
    <x:row r="6">
      <x:c r="A6" s="14" t="str">
        <x:v>AI-05</x:v>
      </x:c>
      <x:c r="B6" s="14" t="str">
        <x:v>HR</x:v>
      </x:c>
      <x:c r="C6" s="14" t="str">
        <x:v>CV Screening Support</x:v>
      </x:c>
      <x:c r="D6" s="14" t="str">
        <x:v>Recruiters manually review large numbers of applications against role requirements.</x:v>
      </x:c>
      <x:c r="E6" s="14" t="str">
        <x:v>NLP-assisted screening support</x:v>
      </x:c>
      <x:c r="F6" s="14" t="n">
        <x:v>3</x:v>
      </x:c>
      <x:c r="G6" s="14" t="n">
        <x:v>4</x:v>
      </x:c>
      <x:c r="H6" s="14" t="n">
        <x:v>3</x:v>
      </x:c>
      <x:c r="I6" s="14" t="n">
        <x:v>2</x:v>
      </x:c>
      <x:c r="J6" s="14" t="n">
        <x:v>4</x:v>
      </x:c>
      <x:c r="K6" s="14" t="n">
        <x:v>90</x:v>
      </x:c>
      <x:c r="L6" s="14" t="n">
        <x:v>40</x:v>
      </x:c>
      <x:c r="M6" s="14" t="n">
        <x:v>2</x:v>
      </x:c>
      <x:c r="N6" s="14" t="str">
        <x:v>HR Recruiting; Legal; Data Protection</x:v>
      </x:c>
      <x:c r="O6" s="14" t="str">
        <x:v>Higher fairness and bias risk means the tool should support, not replace, recruiter decisions.</x:v>
      </x:c>
    </x:row>
    <x:row r="7">
      <x:c r="A7" s="14" t="str">
        <x:v>AI-06</x:v>
      </x:c>
      <x:c r="B7" s="14" t="str">
        <x:v>HR</x:v>
      </x:c>
      <x:c r="C7" s="14" t="str">
        <x:v>Training Recommendation Engine</x:v>
      </x:c>
      <x:c r="D7" s="14" t="str">
        <x:v>Employees receive broad training suggestions that are not always linked to role or skill gaps.</x:v>
      </x:c>
      <x:c r="E7" s="14" t="str">
        <x:v>Recommendation model</x:v>
      </x:c>
      <x:c r="F7" s="14" t="n">
        <x:v>3</x:v>
      </x:c>
      <x:c r="G7" s="14" t="n">
        <x:v>4</x:v>
      </x:c>
      <x:c r="H7" s="14" t="n">
        <x:v>3</x:v>
      </x:c>
      <x:c r="I7" s="14" t="n">
        <x:v>3</x:v>
      </x:c>
      <x:c r="J7" s="14" t="n">
        <x:v>3</x:v>
      </x:c>
      <x:c r="K7" s="14" t="n">
        <x:v>80</x:v>
      </x:c>
      <x:c r="L7" s="14" t="n">
        <x:v>55</x:v>
      </x:c>
      <x:c r="M7" s="14" t="n">
        <x:v>3</x:v>
      </x:c>
      <x:c r="N7" s="14" t="str">
        <x:v>HR Learning; Department Managers</x:v>
      </x:c>
      <x:c r="O7" s="14" t="str">
        <x:v>Useful but lower direct business value than process automation opportunities.</x:v>
      </x:c>
    </x:row>
    <x:row r="8">
      <x:c r="A8" s="14" t="str">
        <x:v>AI-07</x:v>
      </x:c>
      <x:c r="B8" s="14" t="str">
        <x:v>Procurement</x:v>
      </x:c>
      <x:c r="C8" s="14" t="str">
        <x:v>Contract Review &amp; Clause Extraction</x:v>
      </x:c>
      <x:c r="D8" s="14" t="str">
        <x:v>Buyers spend time locating clauses, renewal dates and commercial terms in supplier contracts.</x:v>
      </x:c>
      <x:c r="E8" s="14" t="str">
        <x:v>Document AI + GenAI extraction</x:v>
      </x:c>
      <x:c r="F8" s="14" t="n">
        <x:v>4</x:v>
      </x:c>
      <x:c r="G8" s="14" t="n">
        <x:v>4</x:v>
      </x:c>
      <x:c r="H8" s="14" t="n">
        <x:v>4</x:v>
      </x:c>
      <x:c r="I8" s="14" t="n">
        <x:v>3</x:v>
      </x:c>
      <x:c r="J8" s="14" t="n">
        <x:v>3</x:v>
      </x:c>
      <x:c r="K8" s="14" t="n">
        <x:v>160</x:v>
      </x:c>
      <x:c r="L8" s="14" t="n">
        <x:v>75</x:v>
      </x:c>
      <x:c r="M8" s="14" t="n">
        <x:v>4</x:v>
      </x:c>
      <x:c r="N8" s="14" t="str">
        <x:v>Procurement; Legal; IT</x:v>
      </x:c>
      <x:c r="O8" s="14" t="str">
        <x:v>Outputs should be treated as review support, not legal advice.</x:v>
      </x:c>
    </x:row>
    <x:row r="9">
      <x:c r="A9" s="14" t="str">
        <x:v>AI-08</x:v>
      </x:c>
      <x:c r="B9" s="14" t="str">
        <x:v>Procurement</x:v>
      </x:c>
      <x:c r="C9" s="14" t="str">
        <x:v>Spend Classification &amp; Supplier Insights</x:v>
      </x:c>
      <x:c r="D9" s="14" t="str">
        <x:v>Spend data contains inconsistent categories and requires manual analysis before sourcing decisions.</x:v>
      </x:c>
      <x:c r="E9" s="14" t="str">
        <x:v>ML classification + analytics</x:v>
      </x:c>
      <x:c r="F9" s="14" t="n">
        <x:v>4</x:v>
      </x:c>
      <x:c r="G9" s="14" t="n">
        <x:v>5</x:v>
      </x:c>
      <x:c r="H9" s="14" t="n">
        <x:v>5</x:v>
      </x:c>
      <x:c r="I9" s="14" t="n">
        <x:v>2</x:v>
      </x:c>
      <x:c r="J9" s="14" t="n">
        <x:v>2</x:v>
      </x:c>
      <x:c r="K9" s="14" t="n">
        <x:v>190</x:v>
      </x:c>
      <x:c r="L9" s="14" t="n">
        <x:v>60</x:v>
      </x:c>
      <x:c r="M9" s="14" t="n">
        <x:v>3</x:v>
      </x:c>
      <x:c r="N9" s="14" t="str">
        <x:v>Procurement; Finance; Data Team</x:v>
      </x:c>
      <x:c r="O9" s="14" t="str">
        <x:v>Strong data readiness and a clear link to sourcing analysis.</x:v>
      </x:c>
    </x:row>
    <x:row r="10">
      <x:c r="A10" s="14" t="str">
        <x:v>AI-09</x:v>
      </x:c>
      <x:c r="B10" s="14" t="str">
        <x:v>Procurement</x:v>
      </x:c>
      <x:c r="C10" s="14" t="str">
        <x:v>Supplier Risk Monitoring</x:v>
      </x:c>
      <x:c r="D10" s="14" t="str">
        <x:v>Supplier risk checks are periodic and may miss changes between review cycles.</x:v>
      </x:c>
      <x:c r="E10" s="14" t="str">
        <x:v>Risk scoring + external signal monitoring</x:v>
      </x:c>
      <x:c r="F10" s="14" t="n">
        <x:v>5</x:v>
      </x:c>
      <x:c r="G10" s="14" t="n">
        <x:v>3</x:v>
      </x:c>
      <x:c r="H10" s="14" t="n">
        <x:v>3</x:v>
      </x:c>
      <x:c r="I10" s="14" t="n">
        <x:v>4</x:v>
      </x:c>
      <x:c r="J10" s="14" t="n">
        <x:v>4</x:v>
      </x:c>
      <x:c r="K10" s="14" t="n">
        <x:v>240</x:v>
      </x:c>
      <x:c r="L10" s="14" t="n">
        <x:v>150</x:v>
      </x:c>
      <x:c r="M10" s="14" t="n">
        <x:v>6</x:v>
      </x:c>
      <x:c r="N10" s="14" t="str">
        <x:v>Procurement; Risk; Legal</x:v>
      </x:c>
      <x:c r="O10" s="14" t="str">
        <x:v>Potentially valuable, but requires reliable external data and governance.</x:v>
      </x:c>
    </x:row>
    <x:row r="11">
      <x:c r="A11" s="14" t="str">
        <x:v>AI-10</x:v>
      </x:c>
      <x:c r="B11" s="14" t="str">
        <x:v>Customer Service</x:v>
      </x:c>
      <x:c r="C11" s="14" t="str">
        <x:v>Support Copilot</x:v>
      </x:c>
      <x:c r="D11" s="14" t="str">
        <x:v>Agents search multiple systems and knowledge articles while responding to customer requests.</x:v>
      </x:c>
      <x:c r="E11" s="14" t="str">
        <x:v>GenAI response assistant + enterprise search</x:v>
      </x:c>
      <x:c r="F11" s="14" t="n">
        <x:v>5</x:v>
      </x:c>
      <x:c r="G11" s="14" t="n">
        <x:v>5</x:v>
      </x:c>
      <x:c r="H11" s="14" t="n">
        <x:v>4</x:v>
      </x:c>
      <x:c r="I11" s="14" t="n">
        <x:v>3</x:v>
      </x:c>
      <x:c r="J11" s="14" t="n">
        <x:v>3</x:v>
      </x:c>
      <x:c r="K11" s="14" t="n">
        <x:v>300</x:v>
      </x:c>
      <x:c r="L11" s="14" t="n">
        <x:v>110</x:v>
      </x:c>
      <x:c r="M11" s="14" t="n">
        <x:v>4</x:v>
      </x:c>
      <x:c r="N11" s="14" t="str">
        <x:v>Customer Service; IT; Legal</x:v>
      </x:c>
      <x:c r="O11" s="14" t="str">
        <x:v>Human agent remains responsible for the final response.</x:v>
      </x:c>
    </x:row>
    <x:row r="12">
      <x:c r="A12" s="14" t="str">
        <x:v>AI-11</x:v>
      </x:c>
      <x:c r="B12" s="14" t="str">
        <x:v>Customer Service</x:v>
      </x:c>
      <x:c r="C12" s="14" t="str">
        <x:v>Ticket Triage &amp; Routing</x:v>
      </x:c>
      <x:c r="D12" s="14" t="str">
        <x:v>Incoming service tickets are manually categorized and routed to specialist teams.</x:v>
      </x:c>
      <x:c r="E12" s="14" t="str">
        <x:v>Text classification + workflow automation</x:v>
      </x:c>
      <x:c r="F12" s="14" t="n">
        <x:v>4</x:v>
      </x:c>
      <x:c r="G12" s="14" t="n">
        <x:v>5</x:v>
      </x:c>
      <x:c r="H12" s="14" t="n">
        <x:v>5</x:v>
      </x:c>
      <x:c r="I12" s="14" t="n">
        <x:v>2</x:v>
      </x:c>
      <x:c r="J12" s="14" t="n">
        <x:v>2</x:v>
      </x:c>
      <x:c r="K12" s="14" t="n">
        <x:v>170</x:v>
      </x:c>
      <x:c r="L12" s="14" t="n">
        <x:v>50</x:v>
      </x:c>
      <x:c r="M12" s="14" t="n">
        <x:v>2</x:v>
      </x:c>
      <x:c r="N12" s="14" t="str">
        <x:v>Customer Service; IT</x:v>
      </x:c>
      <x:c r="O12" s="14" t="str">
        <x:v>A practical automation opportunity with measurable cycle-time impact.</x:v>
      </x:c>
    </x:row>
    <x:row r="13">
      <x:c r="A13" s="14" t="str">
        <x:v>AI-12</x:v>
      </x:c>
      <x:c r="B13" s="14" t="str">
        <x:v>Customer Service</x:v>
      </x:c>
      <x:c r="C13" s="14" t="str">
        <x:v>Voice of Customer Summarization</x:v>
      </x:c>
      <x:c r="D13" s="14" t="str">
        <x:v>Customer feedback is spread across tickets and notes, making recurring issues hard to spot.</x:v>
      </x:c>
      <x:c r="E13" s="14" t="str">
        <x:v>NLP summarization + topic clustering</x:v>
      </x:c>
      <x:c r="F13" s="14" t="n">
        <x:v>4</x:v>
      </x:c>
      <x:c r="G13" s="14" t="n">
        <x:v>5</x:v>
      </x:c>
      <x:c r="H13" s="14" t="n">
        <x:v>4</x:v>
      </x:c>
      <x:c r="I13" s="14" t="n">
        <x:v>2</x:v>
      </x:c>
      <x:c r="J13" s="14" t="n">
        <x:v>2</x:v>
      </x:c>
      <x:c r="K13" s="14" t="n">
        <x:v>130</x:v>
      </x:c>
      <x:c r="L13" s="14" t="n">
        <x:v>40</x:v>
      </x:c>
      <x:c r="M13" s="14" t="n">
        <x:v>2</x:v>
      </x:c>
      <x:c r="N13" s="14" t="str">
        <x:v>Customer Service; Product; Quality</x:v>
      </x:c>
      <x:c r="O13" s="14" t="str">
        <x:v>Useful for trend identification and management reporting.</x:v>
      </x:c>
    </x:row>
    <x:row r="14">
      <x:c r="A14" s="14" t="str">
        <x:v>AI-13</x:v>
      </x:c>
      <x:c r="B14" s="14" t="str">
        <x:v>Supply Chain</x:v>
      </x:c>
      <x:c r="C14" s="14" t="str">
        <x:v>Demand Forecasting</x:v>
      </x:c>
      <x:c r="D14" s="14" t="str">
        <x:v>Planning teams rely on forecasts that require manual adjustments and may react slowly to demand changes.</x:v>
      </x:c>
      <x:c r="E14" s="14" t="str">
        <x:v>Time-series forecasting</x:v>
      </x:c>
      <x:c r="F14" s="14" t="n">
        <x:v>5</x:v>
      </x:c>
      <x:c r="G14" s="14" t="n">
        <x:v>4</x:v>
      </x:c>
      <x:c r="H14" s="14" t="n">
        <x:v>5</x:v>
      </x:c>
      <x:c r="I14" s="14" t="n">
        <x:v>4</x:v>
      </x:c>
      <x:c r="J14" s="14" t="n">
        <x:v>3</x:v>
      </x:c>
      <x:c r="K14" s="14" t="n">
        <x:v>380</x:v>
      </x:c>
      <x:c r="L14" s="14" t="n">
        <x:v>180</x:v>
      </x:c>
      <x:c r="M14" s="14" t="n">
        <x:v>6</x:v>
      </x:c>
      <x:c r="N14" s="14" t="str">
        <x:v>Supply Chain Planning; Sales; Data Team</x:v>
      </x:c>
      <x:c r="O14" s="14" t="str">
        <x:v>High value, but requires careful validation and ongoing forecast monitoring.</x:v>
      </x:c>
    </x:row>
    <x:row r="15">
      <x:c r="A15" s="14" t="str">
        <x:v>AI-14</x:v>
      </x:c>
      <x:c r="B15" s="14" t="str">
        <x:v>Supply Chain</x:v>
      </x:c>
      <x:c r="C15" s="14" t="str">
        <x:v>Inventory Replenishment Recommendation</x:v>
      </x:c>
      <x:c r="D15" s="14" t="str">
        <x:v>Planners manually balance service levels, stock coverage and replenishment decisions.</x:v>
      </x:c>
      <x:c r="E15" s="14" t="str">
        <x:v>Optimization + predictive analytics</x:v>
      </x:c>
      <x:c r="F15" s="14" t="n">
        <x:v>5</x:v>
      </x:c>
      <x:c r="G15" s="14" t="n">
        <x:v>4</x:v>
      </x:c>
      <x:c r="H15" s="14" t="n">
        <x:v>4</x:v>
      </x:c>
      <x:c r="I15" s="14" t="n">
        <x:v>4</x:v>
      </x:c>
      <x:c r="J15" s="14" t="n">
        <x:v>3</x:v>
      </x:c>
      <x:c r="K15" s="14" t="n">
        <x:v>320</x:v>
      </x:c>
      <x:c r="L15" s="14" t="n">
        <x:v>160</x:v>
      </x:c>
      <x:c r="M15" s="14" t="n">
        <x:v>6</x:v>
      </x:c>
      <x:c r="N15" s="14" t="str">
        <x:v>Supply Chain; Procurement; Finance</x:v>
      </x:c>
      <x:c r="O15" s="14" t="str">
        <x:v>Should start as a recommendation tool before any automated ordering.</x:v>
      </x:c>
    </x:row>
    <x:row r="16">
      <x:c r="A16" s="14" t="str">
        <x:v>AI-15</x:v>
      </x:c>
      <x:c r="B16" s="14" t="str">
        <x:v>Supply Chain</x:v>
      </x:c>
      <x:c r="C16" s="14" t="str">
        <x:v>Logistics Delay Prediction</x:v>
      </x:c>
      <x:c r="D16" s="14" t="str">
        <x:v>Teams often learn about delivery delays after they have already affected production or customers.</x:v>
      </x:c>
      <x:c r="E16" s="14" t="str">
        <x:v>Predictive analytics</x:v>
      </x:c>
      <x:c r="F16" s="14" t="n">
        <x:v>4</x:v>
      </x:c>
      <x:c r="G16" s="14" t="n">
        <x:v>3</x:v>
      </x:c>
      <x:c r="H16" s="14" t="n">
        <x:v>3</x:v>
      </x:c>
      <x:c r="I16" s="14" t="n">
        <x:v>4</x:v>
      </x:c>
      <x:c r="J16" s="14" t="n">
        <x:v>3</x:v>
      </x:c>
      <x:c r="K16" s="14" t="n">
        <x:v>210</x:v>
      </x:c>
      <x:c r="L16" s="14" t="n">
        <x:v>130</x:v>
      </x:c>
      <x:c r="M16" s="14" t="n">
        <x:v>5</x:v>
      </x:c>
      <x:c r="N16" s="14" t="str">
        <x:v>Logistics; Supply Chain; Customer Service</x:v>
      </x:c>
      <x:c r="O16" s="14" t="str">
        <x:v>Depends on consistent logistics event data.</x:v>
      </x:c>
    </x:row>
    <x:row r="17">
      <x:c r="A17" s="14" t="str">
        <x:v>AI-16</x:v>
      </x:c>
      <x:c r="B17" s="14" t="str">
        <x:v>Sales</x:v>
      </x:c>
      <x:c r="C17" s="14" t="str">
        <x:v>Lead Prioritization</x:v>
      </x:c>
      <x:c r="D17" s="14" t="str">
        <x:v>Sales teams spend similar effort on leads with very different conversion potential.</x:v>
      </x:c>
      <x:c r="E17" s="14" t="str">
        <x:v>Predictive lead scoring</x:v>
      </x:c>
      <x:c r="F17" s="14" t="n">
        <x:v>4</x:v>
      </x:c>
      <x:c r="G17" s="14" t="n">
        <x:v>5</x:v>
      </x:c>
      <x:c r="H17" s="14" t="n">
        <x:v>4</x:v>
      </x:c>
      <x:c r="I17" s="14" t="n">
        <x:v>2</x:v>
      </x:c>
      <x:c r="J17" s="14" t="n">
        <x:v>3</x:v>
      </x:c>
      <x:c r="K17" s="14" t="n">
        <x:v>200</x:v>
      </x:c>
      <x:c r="L17" s="14" t="n">
        <x:v>70</x:v>
      </x:c>
      <x:c r="M17" s="14" t="n">
        <x:v>3</x:v>
      </x:c>
      <x:c r="N17" s="14" t="str">
        <x:v>Sales; CRM Team; Data Team</x:v>
      </x:c>
      <x:c r="O17" s="14" t="str">
        <x:v>Easy to pilot if historical CRM outcomes are available.</x:v>
      </x:c>
    </x:row>
    <x:row r="18">
      <x:c r="A18" s="14" t="str">
        <x:v>AI-17</x:v>
      </x:c>
      <x:c r="B18" s="14" t="str">
        <x:v>Sales</x:v>
      </x:c>
      <x:c r="C18" s="14" t="str">
        <x:v>Proposal Drafting Assistant</x:v>
      </x:c>
      <x:c r="D18" s="14" t="str">
        <x:v>Sales teams repeatedly adapt similar proposal content for different prospects.</x:v>
      </x:c>
      <x:c r="E18" s="14" t="str">
        <x:v>GenAI drafting assistant</x:v>
      </x:c>
      <x:c r="F18" s="14" t="n">
        <x:v>3</x:v>
      </x:c>
      <x:c r="G18" s="14" t="n">
        <x:v>5</x:v>
      </x:c>
      <x:c r="H18" s="14" t="n">
        <x:v>4</x:v>
      </x:c>
      <x:c r="I18" s="14" t="n">
        <x:v>2</x:v>
      </x:c>
      <x:c r="J18" s="14" t="n">
        <x:v>2</x:v>
      </x:c>
      <x:c r="K18" s="14" t="n">
        <x:v>110</x:v>
      </x:c>
      <x:c r="L18" s="14" t="n">
        <x:v>35</x:v>
      </x:c>
      <x:c r="M18" s="14" t="n">
        <x:v>2</x:v>
      </x:c>
      <x:c r="N18" s="14" t="str">
        <x:v>Sales; Marketing; Legal</x:v>
      </x:c>
      <x:c r="O18" s="14" t="str">
        <x:v>Low implementation effort, but value depends on actual proposal volume.</x:v>
      </x:c>
    </x:row>
    <x:row r="19">
      <x:c r="A19" s="14" t="str">
        <x:v>AI-18</x:v>
      </x:c>
      <x:c r="B19" s="14" t="str">
        <x:v>Sales</x:v>
      </x:c>
      <x:c r="C19" s="14" t="str">
        <x:v>Customer Churn Prediction</x:v>
      </x:c>
      <x:c r="D19" s="14" t="str">
        <x:v>Account teams do not always identify declining customer engagement early enough.</x:v>
      </x:c>
      <x:c r="E19" s="14" t="str">
        <x:v>Predictive classification</x:v>
      </x:c>
      <x:c r="F19" s="14" t="n">
        <x:v>4</x:v>
      </x:c>
      <x:c r="G19" s="14" t="n">
        <x:v>3</x:v>
      </x:c>
      <x:c r="H19" s="14" t="n">
        <x:v>3</x:v>
      </x:c>
      <x:c r="I19" s="14" t="n">
        <x:v>4</x:v>
      </x:c>
      <x:c r="J19" s="14" t="n">
        <x:v>3</x:v>
      </x:c>
      <x:c r="K19" s="14" t="n">
        <x:v>230</x:v>
      </x:c>
      <x:c r="L19" s="14" t="n">
        <x:v>140</x:v>
      </x:c>
      <x:c r="M19" s="14" t="n">
        <x:v>5</x:v>
      </x:c>
      <x:c r="N19" s="14" t="str">
        <x:v>Sales; Customer Success; Data Team</x:v>
      </x:c>
      <x:c r="O19" s="14" t="str">
        <x:v>Requires a stable definition of churn and enough historical examples.</x:v>
      </x:c>
    </x:row>
    <x:row r="20">
      <x:c r="A20" s="14" t="str">
        <x:v>AI-19</x:v>
      </x:c>
      <x:c r="B20" s="14" t="str">
        <x:v>Operations</x:v>
      </x:c>
      <x:c r="C20" s="14" t="str">
        <x:v>Predictive Maintenance</x:v>
      </x:c>
      <x:c r="D20" s="14" t="str">
        <x:v>Maintenance is partly calendar-based, which can cause unnecessary service or unexpected equipment downtime.</x:v>
      </x:c>
      <x:c r="E20" s="14" t="str">
        <x:v>Predictive maintenance model</x:v>
      </x:c>
      <x:c r="F20" s="14" t="n">
        <x:v>5</x:v>
      </x:c>
      <x:c r="G20" s="14" t="n">
        <x:v>3</x:v>
      </x:c>
      <x:c r="H20" s="14" t="n">
        <x:v>4</x:v>
      </x:c>
      <x:c r="I20" s="14" t="n">
        <x:v>5</x:v>
      </x:c>
      <x:c r="J20" s="14" t="n">
        <x:v>3</x:v>
      </x:c>
      <x:c r="K20" s="14" t="n">
        <x:v>450</x:v>
      </x:c>
      <x:c r="L20" s="14" t="n">
        <x:v>260</x:v>
      </x:c>
      <x:c r="M20" s="14" t="n">
        <x:v>9</x:v>
      </x:c>
      <x:c r="N20" s="14" t="str">
        <x:v>Plant Operations; Maintenance; IT/OT</x:v>
      </x:c>
      <x:c r="O20" s="14" t="str">
        <x:v>High potential value but technically demanding and dependent on equipment sensor data.</x:v>
      </x:c>
    </x:row>
    <x:row r="21">
      <x:c r="A21" s="14" t="str">
        <x:v>AI-20</x:v>
      </x:c>
      <x:c r="B21" s="14" t="str">
        <x:v>Operations</x:v>
      </x:c>
      <x:c r="C21" s="14" t="str">
        <x:v>Visual Quality Inspection</x:v>
      </x:c>
      <x:c r="D21" s="14" t="str">
        <x:v>Some product defects are identified through manual inspection and sampling.</x:v>
      </x:c>
      <x:c r="E21" s="14" t="str">
        <x:v>Computer vision</x:v>
      </x:c>
      <x:c r="F21" s="14" t="n">
        <x:v>5</x:v>
      </x:c>
      <x:c r="G21" s="14" t="n">
        <x:v>3</x:v>
      </x:c>
      <x:c r="H21" s="14" t="n">
        <x:v>3</x:v>
      </x:c>
      <x:c r="I21" s="14" t="n">
        <x:v>5</x:v>
      </x:c>
      <x:c r="J21" s="14" t="n">
        <x:v>3</x:v>
      </x:c>
      <x:c r="K21" s="14" t="n">
        <x:v>390</x:v>
      </x:c>
      <x:c r="L21" s="14" t="n">
        <x:v>250</x:v>
      </x:c>
      <x:c r="M21" s="14" t="n">
        <x:v>9</x:v>
      </x:c>
      <x:c r="N21" s="14" t="str">
        <x:v>Quality; Operations; IT/OT</x:v>
      </x:c>
      <x:c r="O21" s="14" t="str">
        <x:v>Requires image data, hardware setup and careful false-positive control.</x:v>
      </x:c>
    </x:row>
    <x:row r="22">
      <x:c r="A22" s="14" t="str">
        <x:v>AI-21</x:v>
      </x:c>
      <x:c r="B22" s="14" t="str">
        <x:v>Operations</x:v>
      </x:c>
      <x:c r="C22" s="14" t="str">
        <x:v>Shift Handover Summarization</x:v>
      </x:c>
      <x:c r="D22" s="14" t="str">
        <x:v>Important information can be lost or repeated during shift handovers.</x:v>
      </x:c>
      <x:c r="E22" s="14" t="str">
        <x:v>GenAI summarization</x:v>
      </x:c>
      <x:c r="F22" s="14" t="n">
        <x:v>3</x:v>
      </x:c>
      <x:c r="G22" s="14" t="n">
        <x:v>5</x:v>
      </x:c>
      <x:c r="H22" s="14" t="n">
        <x:v>4</x:v>
      </x:c>
      <x:c r="I22" s="14" t="n">
        <x:v>2</x:v>
      </x:c>
      <x:c r="J22" s="14" t="n">
        <x:v>2</x:v>
      </x:c>
      <x:c r="K22" s="14" t="n">
        <x:v>90</x:v>
      </x:c>
      <x:c r="L22" s="14" t="n">
        <x:v>30</x:v>
      </x:c>
      <x:c r="M22" s="14" t="n">
        <x:v>2</x:v>
      </x:c>
      <x:c r="N22" s="14" t="str">
        <x:v>Operations; Plant Supervisors</x:v>
      </x:c>
      <x:c r="O22" s="14" t="str">
        <x:v>Simple pilot using structured shift notes.</x:v>
      </x:c>
    </x:row>
    <x:row r="23">
      <x:c r="A23" s="14" t="str">
        <x:v>AI-22</x:v>
      </x:c>
      <x:c r="B23" s="14" t="str">
        <x:v>IT</x:v>
      </x:c>
      <x:c r="C23" s="14" t="str">
        <x:v>Internal IT Helpdesk Assistant</x:v>
      </x:c>
      <x:c r="D23" s="14" t="str">
        <x:v>Employees repeatedly contact IT for common access, software and troubleshooting questions.</x:v>
      </x:c>
      <x:c r="E23" s="14" t="str">
        <x:v>Enterprise search / RAG assistant</x:v>
      </x:c>
      <x:c r="F23" s="14" t="n">
        <x:v>4</x:v>
      </x:c>
      <x:c r="G23" s="14" t="n">
        <x:v>5</x:v>
      </x:c>
      <x:c r="H23" s="14" t="n">
        <x:v>5</x:v>
      </x:c>
      <x:c r="I23" s="14" t="n">
        <x:v>2</x:v>
      </x:c>
      <x:c r="J23" s="14" t="n">
        <x:v>2</x:v>
      </x:c>
      <x:c r="K23" s="14" t="n">
        <x:v>150</x:v>
      </x:c>
      <x:c r="L23" s="14" t="n">
        <x:v>45</x:v>
      </x:c>
      <x:c r="M23" s="14" t="n">
        <x:v>2</x:v>
      </x:c>
      <x:c r="N23" s="14" t="str">
        <x:v>IT Service Desk; Information Security</x:v>
      </x:c>
      <x:c r="O23" s="14" t="str">
        <x:v>Strong quick-win candidate with approved knowledge articles.</x:v>
      </x:c>
    </x:row>
    <x:row r="24">
      <x:c r="A24" s="14" t="str">
        <x:v>AI-23</x:v>
      </x:c>
      <x:c r="B24" s="14" t="str">
        <x:v>IT</x:v>
      </x:c>
      <x:c r="C24" s="14" t="str">
        <x:v>Incident Root Cause Assistant</x:v>
      </x:c>
      <x:c r="D24" s="14" t="str">
        <x:v>IT teams spend time reviewing logs, tickets and past incidents during troubleshooting.</x:v>
      </x:c>
      <x:c r="E24" s="14" t="str">
        <x:v>GenAI + incident knowledge retrieval</x:v>
      </x:c>
      <x:c r="F24" s="14" t="n">
        <x:v>4</x:v>
      </x:c>
      <x:c r="G24" s="14" t="n">
        <x:v>4</x:v>
      </x:c>
      <x:c r="H24" s="14" t="n">
        <x:v>4</x:v>
      </x:c>
      <x:c r="I24" s="14" t="n">
        <x:v>3</x:v>
      </x:c>
      <x:c r="J24" s="14" t="n">
        <x:v>3</x:v>
      </x:c>
      <x:c r="K24" s="14" t="n">
        <x:v>210</x:v>
      </x:c>
      <x:c r="L24" s="14" t="n">
        <x:v>90</x:v>
      </x:c>
      <x:c r="M24" s="14" t="n">
        <x:v>4</x:v>
      </x:c>
      <x:c r="N24" s="14" t="str">
        <x:v>IT Operations; Information Security</x:v>
      </x:c>
      <x:c r="O24" s="14" t="str">
        <x:v>Should surface evidence and related incidents rather than generate unsupported conclusions.</x:v>
      </x:c>
    </x:row>
    <x:row r="25">
      <x:c r="A25" s="14" t="str">
        <x:v>AI-24</x:v>
      </x:c>
      <x:c r="B25" s="14" t="str">
        <x:v>IT</x:v>
      </x:c>
      <x:c r="C25" s="14" t="str">
        <x:v>Secure Enterprise Search / RAG</x:v>
      </x:c>
      <x:c r="D25" s="14" t="str">
        <x:v>Employees search across multiple document repositories and often cannot find the latest approved information.</x:v>
      </x:c>
      <x:c r="E25" s="14" t="str">
        <x:v>Secure enterprise search / RAG</x:v>
      </x:c>
      <x:c r="F25" s="14" t="n">
        <x:v>5</x:v>
      </x:c>
      <x:c r="G25" s="14" t="n">
        <x:v>4</x:v>
      </x:c>
      <x:c r="H25" s="14" t="n">
        <x:v>4</x:v>
      </x:c>
      <x:c r="I25" s="14" t="n">
        <x:v>4</x:v>
      </x:c>
      <x:c r="J25" s="14" t="n">
        <x:v>4</x:v>
      </x:c>
      <x:c r="K25" s="14" t="n">
        <x:v>280</x:v>
      </x:c>
      <x:c r="L25" s="14" t="n">
        <x:v>150</x:v>
      </x:c>
      <x:c r="M25" s="14" t="n">
        <x:v>6</x:v>
      </x:c>
      <x:c r="N25" s="14" t="str">
        <x:v>IT; Information Security; Legal; All Functions</x:v>
      </x:c>
      <x:c r="O25" s="14" t="str">
        <x:v>Broad value, but access control and information governance are central design requirements.</x:v>
      </x:c>
    </x:row>
  </x:sheetData>
  <x:conditionalFormatting sqref="F2:J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cab6050c4ef42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3" hidden="0" customWidth="1"/>
    <x:col min="5" max="5" width="12" hidden="0" customWidth="1"/>
    <x:col min="6" max="6" width="14" hidden="0" customWidth="1"/>
    <x:col min="7" max="7" width="18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27" hidden="0" customWidth="1"/>
  </x:cols>
  <x:sheetData>
    <x:row r="1">
      <x:c r="A1" s="18" t="str">
        <x:v>Use_Case_ID</x:v>
      </x:c>
      <x:c r="B1" s="18" t="str">
        <x:v>Department</x:v>
      </x:c>
      <x:c r="C1" s="18" t="str">
        <x:v>Use_Case</x:v>
      </x:c>
      <x:c r="D1" s="18" t="str">
        <x:v>Business_Value</x:v>
      </x:c>
      <x:c r="E1" s="18" t="str">
        <x:v>Feasibility</x:v>
      </x:c>
      <x:c r="F1" s="18" t="str">
        <x:v>Data_Readiness</x:v>
      </x:c>
      <x:c r="G1" s="18" t="str">
        <x:v>Ease_of_Implementation</x:v>
      </x:c>
      <x:c r="H1" s="18" t="str">
        <x:v>Risk_Advantage</x:v>
      </x:c>
      <x:c r="I1" s="18" t="str">
        <x:v>ROI_Ratio</x:v>
      </x:c>
      <x:c r="J1" s="18" t="str">
        <x:v>ROI_Score</x:v>
      </x:c>
      <x:c r="K1" s="18" t="str">
        <x:v>Priority_Score</x:v>
      </x:c>
      <x:c r="L1" s="18" t="str">
        <x:v>Priority_Tier</x:v>
      </x:c>
      <x:c r="M1" s="18" t="str">
        <x:v>Quick_Win</x:v>
      </x:c>
      <x:c r="N1" s="18" t="str">
        <x:v>Recommended_Phase</x:v>
      </x:c>
    </x:row>
    <x:row r="2">
      <x:c r="A2" s="14" t="str">
        <x:f>Use_Cases!A2</x:f>
        <x:v>AI-01</x:v>
      </x:c>
      <x:c r="B2" s="14" t="str">
        <x:f>Use_Cases!B2</x:f>
        <x:v>Finance</x:v>
      </x:c>
      <x:c r="C2" s="14" t="str">
        <x:f>Use_Cases!C2</x:f>
        <x:v>Invoice Processing Automation</x:v>
      </x:c>
      <x:c r="D2" s="14" t="n">
        <x:f>Use_Cases!F2</x:f>
        <x:v>5</x:v>
      </x:c>
      <x:c r="E2" s="14" t="n">
        <x:f>Use_Cases!G2</x:f>
        <x:v>5</x:v>
      </x:c>
      <x:c r="F2" s="14" t="n">
        <x:f>Use_Cases!H2</x:f>
        <x:v>5</x:v>
      </x:c>
      <x:c r="G2" s="14" t="n">
        <x:f>6-Use_Cases!I2</x:f>
        <x:v>4</x:v>
      </x:c>
      <x:c r="H2" s="14" t="n">
        <x:f>6-Use_Cases!J2</x:f>
        <x:v>4</x:v>
      </x:c>
      <x:c r="I2" s="34" t="n">
        <x:f>Use_Cases!K2/Use_Cases!L2</x:f>
        <x:v>3.25</x:v>
      </x:c>
      <x:c r="J2" s="14" t="n">
        <x:f>IF(I2&gt;=4,5,IF(I2&gt;=3,4,IF(I2&gt;=2,3,IF(I2&gt;=1.5,2,1))))</x:f>
        <x:v>4</x:v>
      </x:c>
      <x:c r="K2" s="32" t="n">
        <x:f>(0.30*D2+0.20*E2+0.15*F2+0.15*G2+0.10*H2+0.10*J2)*20</x:f>
        <x:v>93</x:v>
      </x:c>
      <x:c r="L2" s="14" t="str">
        <x:f>IF(K2&gt;=80,"High",IF(K2&gt;=65,"Medium","Low"))</x:f>
        <x:v>High</x:v>
      </x:c>
      <x:c r="M2" s="14" t="str">
        <x:f>IF(AND(K2&gt;=80,E2&gt;=4,Use_Cases!I2&lt;=3,Use_Cases!J2&lt;=3),"Yes","No")</x:f>
        <x:v>Yes</x:v>
      </x:c>
      <x:c r="N2" s="14" t="str">
        <x:f>IF(M2="Yes","Phase 1 - Quick Wins",IF(K2&gt;=75,"Phase 2 - Scale","Phase 3 - Strategic / Later"))</x:f>
        <x:v>Phase 1 - Quick Wins</x:v>
      </x:c>
    </x:row>
    <x:row r="3">
      <x:c r="A3" s="14" t="str">
        <x:f>Use_Cases!A3</x:f>
        <x:v>AI-02</x:v>
      </x:c>
      <x:c r="B3" s="14" t="str">
        <x:f>Use_Cases!B3</x:f>
        <x:v>Finance</x:v>
      </x:c>
      <x:c r="C3" s="14" t="str">
        <x:f>Use_Cases!C3</x:f>
        <x:v>Financial Close Assistant</x:v>
      </x:c>
      <x:c r="D3" s="14" t="n">
        <x:f>Use_Cases!F3</x:f>
        <x:v>4</x:v>
      </x:c>
      <x:c r="E3" s="14" t="n">
        <x:f>Use_Cases!G3</x:f>
        <x:v>4</x:v>
      </x:c>
      <x:c r="F3" s="14" t="n">
        <x:f>Use_Cases!H3</x:f>
        <x:v>4</x:v>
      </x:c>
      <x:c r="G3" s="14" t="n">
        <x:f>6-Use_Cases!I3</x:f>
        <x:v>3</x:v>
      </x:c>
      <x:c r="H3" s="14" t="n">
        <x:f>6-Use_Cases!J3</x:f>
        <x:v>3</x:v>
      </x:c>
      <x:c r="I3" s="34" t="n">
        <x:f>Use_Cases!K3/Use_Cases!L3</x:f>
        <x:v>2</x:v>
      </x:c>
      <x:c r="J3" s="14" t="n">
        <x:f>IF(I3&gt;=4,5,IF(I3&gt;=3,4,IF(I3&gt;=2,3,IF(I3&gt;=1.5,2,1))))</x:f>
        <x:v>3</x:v>
      </x:c>
      <x:c r="K3" s="32" t="n">
        <x:f>(0.30*D3+0.20*E3+0.15*F3+0.15*G3+0.10*H3+0.10*J3)*20</x:f>
        <x:v>72.99999999999999</x:v>
      </x:c>
      <x:c r="L3" s="14" t="str">
        <x:f>IF(K3&gt;=80,"High",IF(K3&gt;=65,"Medium","Low"))</x:f>
        <x:v>Medium</x:v>
      </x:c>
      <x:c r="M3" s="14" t="str">
        <x:f>IF(AND(K3&gt;=80,E3&gt;=4,Use_Cases!I3&lt;=3,Use_Cases!J3&lt;=3),"Yes","No")</x:f>
        <x:v>No</x:v>
      </x:c>
      <x:c r="N3" s="14" t="str">
        <x:f>IF(M3="Yes","Phase 1 - Quick Wins",IF(K3&gt;=75,"Phase 2 - Scale","Phase 3 - Strategic / Later"))</x:f>
        <x:v>Phase 3 - Strategic / Later</x:v>
      </x:c>
    </x:row>
    <x:row r="4">
      <x:c r="A4" s="14" t="str">
        <x:f>Use_Cases!A4</x:f>
        <x:v>AI-03</x:v>
      </x:c>
      <x:c r="B4" s="14" t="str">
        <x:f>Use_Cases!B4</x:f>
        <x:v>Finance</x:v>
      </x:c>
      <x:c r="C4" s="14" t="str">
        <x:f>Use_Cases!C4</x:f>
        <x:v>Cash Flow Forecasting</x:v>
      </x:c>
      <x:c r="D4" s="14" t="n">
        <x:f>Use_Cases!F4</x:f>
        <x:v>4</x:v>
      </x:c>
      <x:c r="E4" s="14" t="n">
        <x:f>Use_Cases!G4</x:f>
        <x:v>3</x:v>
      </x:c>
      <x:c r="F4" s="14" t="n">
        <x:f>Use_Cases!H4</x:f>
        <x:v>4</x:v>
      </x:c>
      <x:c r="G4" s="14" t="n">
        <x:f>6-Use_Cases!I4</x:f>
        <x:v>2</x:v>
      </x:c>
      <x:c r="H4" s="14" t="n">
        <x:f>6-Use_Cases!J4</x:f>
        <x:v>3</x:v>
      </x:c>
      <x:c r="I4" s="34" t="n">
        <x:f>Use_Cases!K4/Use_Cases!L4</x:f>
        <x:v>1.5714285714285714</x:v>
      </x:c>
      <x:c r="J4" s="14" t="n">
        <x:f>IF(I4&gt;=4,5,IF(I4&gt;=3,4,IF(I4&gt;=2,3,IF(I4&gt;=1.5,2,1))))</x:f>
        <x:v>2</x:v>
      </x:c>
      <x:c r="K4" s="32" t="n">
        <x:f>(0.30*D4+0.20*E4+0.15*F4+0.15*G4+0.10*H4+0.10*J4)*20</x:f>
        <x:v>64</x:v>
      </x:c>
      <x:c r="L4" s="14" t="str">
        <x:f>IF(K4&gt;=80,"High",IF(K4&gt;=65,"Medium","Low"))</x:f>
        <x:v>Low</x:v>
      </x:c>
      <x:c r="M4" s="14" t="str">
        <x:f>IF(AND(K4&gt;=80,E4&gt;=4,Use_Cases!I4&lt;=3,Use_Cases!J4&lt;=3),"Yes","No")</x:f>
        <x:v>No</x:v>
      </x:c>
      <x:c r="N4" s="14" t="str">
        <x:f>IF(M4="Yes","Phase 1 - Quick Wins",IF(K4&gt;=75,"Phase 2 - Scale","Phase 3 - Strategic / Later"))</x:f>
        <x:v>Phase 3 - Strategic / Later</x:v>
      </x:c>
    </x:row>
    <x:row r="5">
      <x:c r="A5" s="14" t="str">
        <x:f>Use_Cases!A5</x:f>
        <x:v>AI-04</x:v>
      </x:c>
      <x:c r="B5" s="14" t="str">
        <x:f>Use_Cases!B5</x:f>
        <x:v>HR</x:v>
      </x:c>
      <x:c r="C5" s="14" t="str">
        <x:f>Use_Cases!C5</x:f>
        <x:v>Employee Knowledge Assistant</x:v>
      </x:c>
      <x:c r="D5" s="14" t="n">
        <x:f>Use_Cases!F5</x:f>
        <x:v>4</x:v>
      </x:c>
      <x:c r="E5" s="14" t="n">
        <x:f>Use_Cases!G5</x:f>
        <x:v>5</x:v>
      </x:c>
      <x:c r="F5" s="14" t="n">
        <x:f>Use_Cases!H5</x:f>
        <x:v>4</x:v>
      </x:c>
      <x:c r="G5" s="14" t="n">
        <x:f>6-Use_Cases!I5</x:f>
        <x:v>4</x:v>
      </x:c>
      <x:c r="H5" s="14" t="n">
        <x:f>6-Use_Cases!J5</x:f>
        <x:v>3</x:v>
      </x:c>
      <x:c r="I5" s="34" t="n">
        <x:f>Use_Cases!K5/Use_Cases!L5</x:f>
        <x:v>2.6666666666666665</x:v>
      </x:c>
      <x:c r="J5" s="14" t="n">
        <x:f>IF(I5&gt;=4,5,IF(I5&gt;=3,4,IF(I5&gt;=2,3,IF(I5&gt;=1.5,2,1))))</x:f>
        <x:v>3</x:v>
      </x:c>
      <x:c r="K5" s="32" t="n">
        <x:f>(0.30*D5+0.20*E5+0.15*F5+0.15*G5+0.10*H5+0.10*J5)*20</x:f>
        <x:v>80</x:v>
      </x:c>
      <x:c r="L5" s="14" t="str">
        <x:f>IF(K5&gt;=80,"High",IF(K5&gt;=65,"Medium","Low"))</x:f>
        <x:v>High</x:v>
      </x:c>
      <x:c r="M5" s="14" t="str">
        <x:f>IF(AND(K5&gt;=80,E5&gt;=4,Use_Cases!I5&lt;=3,Use_Cases!J5&lt;=3),"Yes","No")</x:f>
        <x:v>Yes</x:v>
      </x:c>
      <x:c r="N5" s="14" t="str">
        <x:f>IF(M5="Yes","Phase 1 - Quick Wins",IF(K5&gt;=75,"Phase 2 - Scale","Phase 3 - Strategic / Later"))</x:f>
        <x:v>Phase 1 - Quick Wins</x:v>
      </x:c>
    </x:row>
    <x:row r="6">
      <x:c r="A6" s="14" t="str">
        <x:f>Use_Cases!A6</x:f>
        <x:v>AI-05</x:v>
      </x:c>
      <x:c r="B6" s="14" t="str">
        <x:f>Use_Cases!B6</x:f>
        <x:v>HR</x:v>
      </x:c>
      <x:c r="C6" s="14" t="str">
        <x:f>Use_Cases!C6</x:f>
        <x:v>CV Screening Support</x:v>
      </x:c>
      <x:c r="D6" s="14" t="n">
        <x:f>Use_Cases!F6</x:f>
        <x:v>3</x:v>
      </x:c>
      <x:c r="E6" s="14" t="n">
        <x:f>Use_Cases!G6</x:f>
        <x:v>4</x:v>
      </x:c>
      <x:c r="F6" s="14" t="n">
        <x:f>Use_Cases!H6</x:f>
        <x:v>3</x:v>
      </x:c>
      <x:c r="G6" s="14" t="n">
        <x:f>6-Use_Cases!I6</x:f>
        <x:v>4</x:v>
      </x:c>
      <x:c r="H6" s="14" t="n">
        <x:f>6-Use_Cases!J6</x:f>
        <x:v>2</x:v>
      </x:c>
      <x:c r="I6" s="34" t="n">
        <x:f>Use_Cases!K6/Use_Cases!L6</x:f>
        <x:v>2.25</x:v>
      </x:c>
      <x:c r="J6" s="14" t="n">
        <x:f>IF(I6&gt;=4,5,IF(I6&gt;=3,4,IF(I6&gt;=2,3,IF(I6&gt;=1.5,2,1))))</x:f>
        <x:v>3</x:v>
      </x:c>
      <x:c r="K6" s="32" t="n">
        <x:f>(0.30*D6+0.20*E6+0.15*F6+0.15*G6+0.10*H6+0.10*J6)*20</x:f>
        <x:v>65</x:v>
      </x:c>
      <x:c r="L6" s="14" t="str">
        <x:f>IF(K6&gt;=80,"High",IF(K6&gt;=65,"Medium","Low"))</x:f>
        <x:v>Medium</x:v>
      </x:c>
      <x:c r="M6" s="14" t="str">
        <x:f>IF(AND(K6&gt;=80,E6&gt;=4,Use_Cases!I6&lt;=3,Use_Cases!J6&lt;=3),"Yes","No")</x:f>
        <x:v>No</x:v>
      </x:c>
      <x:c r="N6" s="14" t="str">
        <x:f>IF(M6="Yes","Phase 1 - Quick Wins",IF(K6&gt;=75,"Phase 2 - Scale","Phase 3 - Strategic / Later"))</x:f>
        <x:v>Phase 3 - Strategic / Later</x:v>
      </x:c>
    </x:row>
    <x:row r="7">
      <x:c r="A7" s="14" t="str">
        <x:f>Use_Cases!A7</x:f>
        <x:v>AI-06</x:v>
      </x:c>
      <x:c r="B7" s="14" t="str">
        <x:f>Use_Cases!B7</x:f>
        <x:v>HR</x:v>
      </x:c>
      <x:c r="C7" s="14" t="str">
        <x:f>Use_Cases!C7</x:f>
        <x:v>Training Recommendation Engine</x:v>
      </x:c>
      <x:c r="D7" s="14" t="n">
        <x:f>Use_Cases!F7</x:f>
        <x:v>3</x:v>
      </x:c>
      <x:c r="E7" s="14" t="n">
        <x:f>Use_Cases!G7</x:f>
        <x:v>4</x:v>
      </x:c>
      <x:c r="F7" s="14" t="n">
        <x:f>Use_Cases!H7</x:f>
        <x:v>3</x:v>
      </x:c>
      <x:c r="G7" s="14" t="n">
        <x:f>6-Use_Cases!I7</x:f>
        <x:v>3</x:v>
      </x:c>
      <x:c r="H7" s="14" t="n">
        <x:f>6-Use_Cases!J7</x:f>
        <x:v>3</x:v>
      </x:c>
      <x:c r="I7" s="34" t="n">
        <x:f>Use_Cases!K7/Use_Cases!L7</x:f>
        <x:v>1.4545454545454546</x:v>
      </x:c>
      <x:c r="J7" s="14" t="n">
        <x:f>IF(I7&gt;=4,5,IF(I7&gt;=3,4,IF(I7&gt;=2,3,IF(I7&gt;=1.5,2,1))))</x:f>
        <x:v>1</x:v>
      </x:c>
      <x:c r="K7" s="32" t="n">
        <x:f>(0.30*D7+0.20*E7+0.15*F7+0.15*G7+0.10*H7+0.10*J7)*20</x:f>
        <x:v>59.99999999999999</x:v>
      </x:c>
      <x:c r="L7" s="14" t="str">
        <x:f>IF(K7&gt;=80,"High",IF(K7&gt;=65,"Medium","Low"))</x:f>
        <x:v>Low</x:v>
      </x:c>
      <x:c r="M7" s="14" t="str">
        <x:f>IF(AND(K7&gt;=80,E7&gt;=4,Use_Cases!I7&lt;=3,Use_Cases!J7&lt;=3),"Yes","No")</x:f>
        <x:v>No</x:v>
      </x:c>
      <x:c r="N7" s="14" t="str">
        <x:f>IF(M7="Yes","Phase 1 - Quick Wins",IF(K7&gt;=75,"Phase 2 - Scale","Phase 3 - Strategic / Later"))</x:f>
        <x:v>Phase 3 - Strategic / Later</x:v>
      </x:c>
    </x:row>
    <x:row r="8">
      <x:c r="A8" s="14" t="str">
        <x:f>Use_Cases!A8</x:f>
        <x:v>AI-07</x:v>
      </x:c>
      <x:c r="B8" s="14" t="str">
        <x:f>Use_Cases!B8</x:f>
        <x:v>Procurement</x:v>
      </x:c>
      <x:c r="C8" s="14" t="str">
        <x:f>Use_Cases!C8</x:f>
        <x:v>Contract Review &amp; Clause Extraction</x:v>
      </x:c>
      <x:c r="D8" s="14" t="n">
        <x:f>Use_Cases!F8</x:f>
        <x:v>4</x:v>
      </x:c>
      <x:c r="E8" s="14" t="n">
        <x:f>Use_Cases!G8</x:f>
        <x:v>4</x:v>
      </x:c>
      <x:c r="F8" s="14" t="n">
        <x:f>Use_Cases!H8</x:f>
        <x:v>4</x:v>
      </x:c>
      <x:c r="G8" s="14" t="n">
        <x:f>6-Use_Cases!I8</x:f>
        <x:v>3</x:v>
      </x:c>
      <x:c r="H8" s="14" t="n">
        <x:f>6-Use_Cases!J8</x:f>
        <x:v>3</x:v>
      </x:c>
      <x:c r="I8" s="34" t="n">
        <x:f>Use_Cases!K8/Use_Cases!L8</x:f>
        <x:v>2.1333333333333333</x:v>
      </x:c>
      <x:c r="J8" s="14" t="n">
        <x:f>IF(I8&gt;=4,5,IF(I8&gt;=3,4,IF(I8&gt;=2,3,IF(I8&gt;=1.5,2,1))))</x:f>
        <x:v>3</x:v>
      </x:c>
      <x:c r="K8" s="32" t="n">
        <x:f>(0.30*D8+0.20*E8+0.15*F8+0.15*G8+0.10*H8+0.10*J8)*20</x:f>
        <x:v>72.99999999999999</x:v>
      </x:c>
      <x:c r="L8" s="14" t="str">
        <x:f>IF(K8&gt;=80,"High",IF(K8&gt;=65,"Medium","Low"))</x:f>
        <x:v>Medium</x:v>
      </x:c>
      <x:c r="M8" s="14" t="str">
        <x:f>IF(AND(K8&gt;=80,E8&gt;=4,Use_Cases!I8&lt;=3,Use_Cases!J8&lt;=3),"Yes","No")</x:f>
        <x:v>No</x:v>
      </x:c>
      <x:c r="N8" s="14" t="str">
        <x:f>IF(M8="Yes","Phase 1 - Quick Wins",IF(K8&gt;=75,"Phase 2 - Scale","Phase 3 - Strategic / Later"))</x:f>
        <x:v>Phase 3 - Strategic / Later</x:v>
      </x:c>
    </x:row>
    <x:row r="9">
      <x:c r="A9" s="14" t="str">
        <x:f>Use_Cases!A9</x:f>
        <x:v>AI-08</x:v>
      </x:c>
      <x:c r="B9" s="14" t="str">
        <x:f>Use_Cases!B9</x:f>
        <x:v>Procurement</x:v>
      </x:c>
      <x:c r="C9" s="14" t="str">
        <x:f>Use_Cases!C9</x:f>
        <x:v>Spend Classification &amp; Supplier Insights</x:v>
      </x:c>
      <x:c r="D9" s="14" t="n">
        <x:f>Use_Cases!F9</x:f>
        <x:v>4</x:v>
      </x:c>
      <x:c r="E9" s="14" t="n">
        <x:f>Use_Cases!G9</x:f>
        <x:v>5</x:v>
      </x:c>
      <x:c r="F9" s="14" t="n">
        <x:f>Use_Cases!H9</x:f>
        <x:v>5</x:v>
      </x:c>
      <x:c r="G9" s="14" t="n">
        <x:f>6-Use_Cases!I9</x:f>
        <x:v>4</x:v>
      </x:c>
      <x:c r="H9" s="14" t="n">
        <x:f>6-Use_Cases!J9</x:f>
        <x:v>4</x:v>
      </x:c>
      <x:c r="I9" s="34" t="n">
        <x:f>Use_Cases!K9/Use_Cases!L9</x:f>
        <x:v>3.1666666666666665</x:v>
      </x:c>
      <x:c r="J9" s="14" t="n">
        <x:f>IF(I9&gt;=4,5,IF(I9&gt;=3,4,IF(I9&gt;=2,3,IF(I9&gt;=1.5,2,1))))</x:f>
        <x:v>4</x:v>
      </x:c>
      <x:c r="K9" s="32" t="n">
        <x:f>(0.30*D9+0.20*E9+0.15*F9+0.15*G9+0.10*H9+0.10*J9)*20</x:f>
        <x:v>87.00000000000001</x:v>
      </x:c>
      <x:c r="L9" s="14" t="str">
        <x:f>IF(K9&gt;=80,"High",IF(K9&gt;=65,"Medium","Low"))</x:f>
        <x:v>High</x:v>
      </x:c>
      <x:c r="M9" s="14" t="str">
        <x:f>IF(AND(K9&gt;=80,E9&gt;=4,Use_Cases!I9&lt;=3,Use_Cases!J9&lt;=3),"Yes","No")</x:f>
        <x:v>Yes</x:v>
      </x:c>
      <x:c r="N9" s="14" t="str">
        <x:f>IF(M9="Yes","Phase 1 - Quick Wins",IF(K9&gt;=75,"Phase 2 - Scale","Phase 3 - Strategic / Later"))</x:f>
        <x:v>Phase 1 - Quick Wins</x:v>
      </x:c>
    </x:row>
    <x:row r="10">
      <x:c r="A10" s="14" t="str">
        <x:f>Use_Cases!A10</x:f>
        <x:v>AI-09</x:v>
      </x:c>
      <x:c r="B10" s="14" t="str">
        <x:f>Use_Cases!B10</x:f>
        <x:v>Procurement</x:v>
      </x:c>
      <x:c r="C10" s="14" t="str">
        <x:f>Use_Cases!C10</x:f>
        <x:v>Supplier Risk Monitoring</x:v>
      </x:c>
      <x:c r="D10" s="14" t="n">
        <x:f>Use_Cases!F10</x:f>
        <x:v>5</x:v>
      </x:c>
      <x:c r="E10" s="14" t="n">
        <x:f>Use_Cases!G10</x:f>
        <x:v>3</x:v>
      </x:c>
      <x:c r="F10" s="14" t="n">
        <x:f>Use_Cases!H10</x:f>
        <x:v>3</x:v>
      </x:c>
      <x:c r="G10" s="14" t="n">
        <x:f>6-Use_Cases!I10</x:f>
        <x:v>2</x:v>
      </x:c>
      <x:c r="H10" s="14" t="n">
        <x:f>6-Use_Cases!J10</x:f>
        <x:v>2</x:v>
      </x:c>
      <x:c r="I10" s="34" t="n">
        <x:f>Use_Cases!K10/Use_Cases!L10</x:f>
        <x:v>1.6</x:v>
      </x:c>
      <x:c r="J10" s="14" t="n">
        <x:f>IF(I10&gt;=4,5,IF(I10&gt;=3,4,IF(I10&gt;=2,3,IF(I10&gt;=1.5,2,1))))</x:f>
        <x:v>2</x:v>
      </x:c>
      <x:c r="K10" s="32" t="n">
        <x:f>(0.30*D10+0.20*E10+0.15*F10+0.15*G10+0.10*H10+0.10*J10)*20</x:f>
        <x:v>65</x:v>
      </x:c>
      <x:c r="L10" s="14" t="str">
        <x:f>IF(K10&gt;=80,"High",IF(K10&gt;=65,"Medium","Low"))</x:f>
        <x:v>Medium</x:v>
      </x:c>
      <x:c r="M10" s="14" t="str">
        <x:f>IF(AND(K10&gt;=80,E10&gt;=4,Use_Cases!I10&lt;=3,Use_Cases!J10&lt;=3),"Yes","No")</x:f>
        <x:v>No</x:v>
      </x:c>
      <x:c r="N10" s="14" t="str">
        <x:f>IF(M10="Yes","Phase 1 - Quick Wins",IF(K10&gt;=75,"Phase 2 - Scale","Phase 3 - Strategic / Later"))</x:f>
        <x:v>Phase 3 - Strategic / Later</x:v>
      </x:c>
    </x:row>
    <x:row r="11">
      <x:c r="A11" s="14" t="str">
        <x:f>Use_Cases!A11</x:f>
        <x:v>AI-10</x:v>
      </x:c>
      <x:c r="B11" s="14" t="str">
        <x:f>Use_Cases!B11</x:f>
        <x:v>Customer Service</x:v>
      </x:c>
      <x:c r="C11" s="14" t="str">
        <x:f>Use_Cases!C11</x:f>
        <x:v>Support Copilot</x:v>
      </x:c>
      <x:c r="D11" s="14" t="n">
        <x:f>Use_Cases!F11</x:f>
        <x:v>5</x:v>
      </x:c>
      <x:c r="E11" s="14" t="n">
        <x:f>Use_Cases!G11</x:f>
        <x:v>5</x:v>
      </x:c>
      <x:c r="F11" s="14" t="n">
        <x:f>Use_Cases!H11</x:f>
        <x:v>4</x:v>
      </x:c>
      <x:c r="G11" s="14" t="n">
        <x:f>6-Use_Cases!I11</x:f>
        <x:v>3</x:v>
      </x:c>
      <x:c r="H11" s="14" t="n">
        <x:f>6-Use_Cases!J11</x:f>
        <x:v>3</x:v>
      </x:c>
      <x:c r="I11" s="34" t="n">
        <x:f>Use_Cases!K11/Use_Cases!L11</x:f>
        <x:v>2.727272727272727</x:v>
      </x:c>
      <x:c r="J11" s="14" t="n">
        <x:f>IF(I11&gt;=4,5,IF(I11&gt;=3,4,IF(I11&gt;=2,3,IF(I11&gt;=1.5,2,1))))</x:f>
        <x:v>3</x:v>
      </x:c>
      <x:c r="K11" s="32" t="n">
        <x:f>(0.30*D11+0.20*E11+0.15*F11+0.15*G11+0.10*H11+0.10*J11)*20</x:f>
        <x:v>82.99999999999999</x:v>
      </x:c>
      <x:c r="L11" s="14" t="str">
        <x:f>IF(K11&gt;=80,"High",IF(K11&gt;=65,"Medium","Low"))</x:f>
        <x:v>High</x:v>
      </x:c>
      <x:c r="M11" s="14" t="str">
        <x:f>IF(AND(K11&gt;=80,E11&gt;=4,Use_Cases!I11&lt;=3,Use_Cases!J11&lt;=3),"Yes","No")</x:f>
        <x:v>Yes</x:v>
      </x:c>
      <x:c r="N11" s="14" t="str">
        <x:f>IF(M11="Yes","Phase 1 - Quick Wins",IF(K11&gt;=75,"Phase 2 - Scale","Phase 3 - Strategic / Later"))</x:f>
        <x:v>Phase 1 - Quick Wins</x:v>
      </x:c>
    </x:row>
    <x:row r="12">
      <x:c r="A12" s="14" t="str">
        <x:f>Use_Cases!A12</x:f>
        <x:v>AI-11</x:v>
      </x:c>
      <x:c r="B12" s="14" t="str">
        <x:f>Use_Cases!B12</x:f>
        <x:v>Customer Service</x:v>
      </x:c>
      <x:c r="C12" s="14" t="str">
        <x:f>Use_Cases!C12</x:f>
        <x:v>Ticket Triage &amp; Routing</x:v>
      </x:c>
      <x:c r="D12" s="14" t="n">
        <x:f>Use_Cases!F12</x:f>
        <x:v>4</x:v>
      </x:c>
      <x:c r="E12" s="14" t="n">
        <x:f>Use_Cases!G12</x:f>
        <x:v>5</x:v>
      </x:c>
      <x:c r="F12" s="14" t="n">
        <x:f>Use_Cases!H12</x:f>
        <x:v>5</x:v>
      </x:c>
      <x:c r="G12" s="14" t="n">
        <x:f>6-Use_Cases!I12</x:f>
        <x:v>4</x:v>
      </x:c>
      <x:c r="H12" s="14" t="n">
        <x:f>6-Use_Cases!J12</x:f>
        <x:v>4</x:v>
      </x:c>
      <x:c r="I12" s="34" t="n">
        <x:f>Use_Cases!K12/Use_Cases!L12</x:f>
        <x:v>3.4</x:v>
      </x:c>
      <x:c r="J12" s="14" t="n">
        <x:f>IF(I12&gt;=4,5,IF(I12&gt;=3,4,IF(I12&gt;=2,3,IF(I12&gt;=1.5,2,1))))</x:f>
        <x:v>4</x:v>
      </x:c>
      <x:c r="K12" s="32" t="n">
        <x:f>(0.30*D12+0.20*E12+0.15*F12+0.15*G12+0.10*H12+0.10*J12)*20</x:f>
        <x:v>87.00000000000001</x:v>
      </x:c>
      <x:c r="L12" s="14" t="str">
        <x:f>IF(K12&gt;=80,"High",IF(K12&gt;=65,"Medium","Low"))</x:f>
        <x:v>High</x:v>
      </x:c>
      <x:c r="M12" s="14" t="str">
        <x:f>IF(AND(K12&gt;=80,E12&gt;=4,Use_Cases!I12&lt;=3,Use_Cases!J12&lt;=3),"Yes","No")</x:f>
        <x:v>Yes</x:v>
      </x:c>
      <x:c r="N12" s="14" t="str">
        <x:f>IF(M12="Yes","Phase 1 - Quick Wins",IF(K12&gt;=75,"Phase 2 - Scale","Phase 3 - Strategic / Later"))</x:f>
        <x:v>Phase 1 - Quick Wins</x:v>
      </x:c>
    </x:row>
    <x:row r="13">
      <x:c r="A13" s="14" t="str">
        <x:f>Use_Cases!A13</x:f>
        <x:v>AI-12</x:v>
      </x:c>
      <x:c r="B13" s="14" t="str">
        <x:f>Use_Cases!B13</x:f>
        <x:v>Customer Service</x:v>
      </x:c>
      <x:c r="C13" s="14" t="str">
        <x:f>Use_Cases!C13</x:f>
        <x:v>Voice of Customer Summarization</x:v>
      </x:c>
      <x:c r="D13" s="14" t="n">
        <x:f>Use_Cases!F13</x:f>
        <x:v>4</x:v>
      </x:c>
      <x:c r="E13" s="14" t="n">
        <x:f>Use_Cases!G13</x:f>
        <x:v>5</x:v>
      </x:c>
      <x:c r="F13" s="14" t="n">
        <x:f>Use_Cases!H13</x:f>
        <x:v>4</x:v>
      </x:c>
      <x:c r="G13" s="14" t="n">
        <x:f>6-Use_Cases!I13</x:f>
        <x:v>4</x:v>
      </x:c>
      <x:c r="H13" s="14" t="n">
        <x:f>6-Use_Cases!J13</x:f>
        <x:v>4</x:v>
      </x:c>
      <x:c r="I13" s="34" t="n">
        <x:f>Use_Cases!K13/Use_Cases!L13</x:f>
        <x:v>3.25</x:v>
      </x:c>
      <x:c r="J13" s="14" t="n">
        <x:f>IF(I13&gt;=4,5,IF(I13&gt;=3,4,IF(I13&gt;=2,3,IF(I13&gt;=1.5,2,1))))</x:f>
        <x:v>4</x:v>
      </x:c>
      <x:c r="K13" s="32" t="n">
        <x:f>(0.30*D13+0.20*E13+0.15*F13+0.15*G13+0.10*H13+0.10*J13)*20</x:f>
        <x:v>84</x:v>
      </x:c>
      <x:c r="L13" s="14" t="str">
        <x:f>IF(K13&gt;=80,"High",IF(K13&gt;=65,"Medium","Low"))</x:f>
        <x:v>High</x:v>
      </x:c>
      <x:c r="M13" s="14" t="str">
        <x:f>IF(AND(K13&gt;=80,E13&gt;=4,Use_Cases!I13&lt;=3,Use_Cases!J13&lt;=3),"Yes","No")</x:f>
        <x:v>Yes</x:v>
      </x:c>
      <x:c r="N13" s="14" t="str">
        <x:f>IF(M13="Yes","Phase 1 - Quick Wins",IF(K13&gt;=75,"Phase 2 - Scale","Phase 3 - Strategic / Later"))</x:f>
        <x:v>Phase 1 - Quick Wins</x:v>
      </x:c>
    </x:row>
    <x:row r="14">
      <x:c r="A14" s="14" t="str">
        <x:f>Use_Cases!A14</x:f>
        <x:v>AI-13</x:v>
      </x:c>
      <x:c r="B14" s="14" t="str">
        <x:f>Use_Cases!B14</x:f>
        <x:v>Supply Chain</x:v>
      </x:c>
      <x:c r="C14" s="14" t="str">
        <x:f>Use_Cases!C14</x:f>
        <x:v>Demand Forecasting</x:v>
      </x:c>
      <x:c r="D14" s="14" t="n">
        <x:f>Use_Cases!F14</x:f>
        <x:v>5</x:v>
      </x:c>
      <x:c r="E14" s="14" t="n">
        <x:f>Use_Cases!G14</x:f>
        <x:v>4</x:v>
      </x:c>
      <x:c r="F14" s="14" t="n">
        <x:f>Use_Cases!H14</x:f>
        <x:v>5</x:v>
      </x:c>
      <x:c r="G14" s="14" t="n">
        <x:f>6-Use_Cases!I14</x:f>
        <x:v>2</x:v>
      </x:c>
      <x:c r="H14" s="14" t="n">
        <x:f>6-Use_Cases!J14</x:f>
        <x:v>3</x:v>
      </x:c>
      <x:c r="I14" s="34" t="n">
        <x:f>Use_Cases!K14/Use_Cases!L14</x:f>
        <x:v>2.111111111111111</x:v>
      </x:c>
      <x:c r="J14" s="14" t="n">
        <x:f>IF(I14&gt;=4,5,IF(I14&gt;=3,4,IF(I14&gt;=2,3,IF(I14&gt;=1.5,2,1))))</x:f>
        <x:v>3</x:v>
      </x:c>
      <x:c r="K14" s="32" t="n">
        <x:f>(0.30*D14+0.20*E14+0.15*F14+0.15*G14+0.10*H14+0.10*J14)*20</x:f>
        <x:v>78.99999999999999</x:v>
      </x:c>
      <x:c r="L14" s="14" t="str">
        <x:f>IF(K14&gt;=80,"High",IF(K14&gt;=65,"Medium","Low"))</x:f>
        <x:v>Medium</x:v>
      </x:c>
      <x:c r="M14" s="14" t="str">
        <x:f>IF(AND(K14&gt;=80,E14&gt;=4,Use_Cases!I14&lt;=3,Use_Cases!J14&lt;=3),"Yes","No")</x:f>
        <x:v>No</x:v>
      </x:c>
      <x:c r="N14" s="14" t="str">
        <x:f>IF(M14="Yes","Phase 1 - Quick Wins",IF(K14&gt;=75,"Phase 2 - Scale","Phase 3 - Strategic / Later"))</x:f>
        <x:v>Phase 2 - Scale</x:v>
      </x:c>
    </x:row>
    <x:row r="15">
      <x:c r="A15" s="14" t="str">
        <x:f>Use_Cases!A15</x:f>
        <x:v>AI-14</x:v>
      </x:c>
      <x:c r="B15" s="14" t="str">
        <x:f>Use_Cases!B15</x:f>
        <x:v>Supply Chain</x:v>
      </x:c>
      <x:c r="C15" s="14" t="str">
        <x:f>Use_Cases!C15</x:f>
        <x:v>Inventory Replenishment Recommendation</x:v>
      </x:c>
      <x:c r="D15" s="14" t="n">
        <x:f>Use_Cases!F15</x:f>
        <x:v>5</x:v>
      </x:c>
      <x:c r="E15" s="14" t="n">
        <x:f>Use_Cases!G15</x:f>
        <x:v>4</x:v>
      </x:c>
      <x:c r="F15" s="14" t="n">
        <x:f>Use_Cases!H15</x:f>
        <x:v>4</x:v>
      </x:c>
      <x:c r="G15" s="14" t="n">
        <x:f>6-Use_Cases!I15</x:f>
        <x:v>2</x:v>
      </x:c>
      <x:c r="H15" s="14" t="n">
        <x:f>6-Use_Cases!J15</x:f>
        <x:v>3</x:v>
      </x:c>
      <x:c r="I15" s="34" t="n">
        <x:f>Use_Cases!K15/Use_Cases!L15</x:f>
        <x:v>2</x:v>
      </x:c>
      <x:c r="J15" s="14" t="n">
        <x:f>IF(I15&gt;=4,5,IF(I15&gt;=3,4,IF(I15&gt;=2,3,IF(I15&gt;=1.5,2,1))))</x:f>
        <x:v>3</x:v>
      </x:c>
      <x:c r="K15" s="32" t="n">
        <x:f>(0.30*D15+0.20*E15+0.15*F15+0.15*G15+0.10*H15+0.10*J15)*20</x:f>
        <x:v>76</x:v>
      </x:c>
      <x:c r="L15" s="14" t="str">
        <x:f>IF(K15&gt;=80,"High",IF(K15&gt;=65,"Medium","Low"))</x:f>
        <x:v>Medium</x:v>
      </x:c>
      <x:c r="M15" s="14" t="str">
        <x:f>IF(AND(K15&gt;=80,E15&gt;=4,Use_Cases!I15&lt;=3,Use_Cases!J15&lt;=3),"Yes","No")</x:f>
        <x:v>No</x:v>
      </x:c>
      <x:c r="N15" s="14" t="str">
        <x:f>IF(M15="Yes","Phase 1 - Quick Wins",IF(K15&gt;=75,"Phase 2 - Scale","Phase 3 - Strategic / Later"))</x:f>
        <x:v>Phase 2 - Scale</x:v>
      </x:c>
    </x:row>
    <x:row r="16">
      <x:c r="A16" s="14" t="str">
        <x:f>Use_Cases!A16</x:f>
        <x:v>AI-15</x:v>
      </x:c>
      <x:c r="B16" s="14" t="str">
        <x:f>Use_Cases!B16</x:f>
        <x:v>Supply Chain</x:v>
      </x:c>
      <x:c r="C16" s="14" t="str">
        <x:f>Use_Cases!C16</x:f>
        <x:v>Logistics Delay Prediction</x:v>
      </x:c>
      <x:c r="D16" s="14" t="n">
        <x:f>Use_Cases!F16</x:f>
        <x:v>4</x:v>
      </x:c>
      <x:c r="E16" s="14" t="n">
        <x:f>Use_Cases!G16</x:f>
        <x:v>3</x:v>
      </x:c>
      <x:c r="F16" s="14" t="n">
        <x:f>Use_Cases!H16</x:f>
        <x:v>3</x:v>
      </x:c>
      <x:c r="G16" s="14" t="n">
        <x:f>6-Use_Cases!I16</x:f>
        <x:v>2</x:v>
      </x:c>
      <x:c r="H16" s="14" t="n">
        <x:f>6-Use_Cases!J16</x:f>
        <x:v>3</x:v>
      </x:c>
      <x:c r="I16" s="34" t="n">
        <x:f>Use_Cases!K16/Use_Cases!L16</x:f>
        <x:v>1.6153846153846154</x:v>
      </x:c>
      <x:c r="J16" s="14" t="n">
        <x:f>IF(I16&gt;=4,5,IF(I16&gt;=3,4,IF(I16&gt;=2,3,IF(I16&gt;=1.5,2,1))))</x:f>
        <x:v>2</x:v>
      </x:c>
      <x:c r="K16" s="32" t="n">
        <x:f>(0.30*D16+0.20*E16+0.15*F16+0.15*G16+0.10*H16+0.10*J16)*20</x:f>
        <x:v>61</x:v>
      </x:c>
      <x:c r="L16" s="14" t="str">
        <x:f>IF(K16&gt;=80,"High",IF(K16&gt;=65,"Medium","Low"))</x:f>
        <x:v>Low</x:v>
      </x:c>
      <x:c r="M16" s="14" t="str">
        <x:f>IF(AND(K16&gt;=80,E16&gt;=4,Use_Cases!I16&lt;=3,Use_Cases!J16&lt;=3),"Yes","No")</x:f>
        <x:v>No</x:v>
      </x:c>
      <x:c r="N16" s="14" t="str">
        <x:f>IF(M16="Yes","Phase 1 - Quick Wins",IF(K16&gt;=75,"Phase 2 - Scale","Phase 3 - Strategic / Later"))</x:f>
        <x:v>Phase 3 - Strategic / Later</x:v>
      </x:c>
    </x:row>
    <x:row r="17">
      <x:c r="A17" s="14" t="str">
        <x:f>Use_Cases!A17</x:f>
        <x:v>AI-16</x:v>
      </x:c>
      <x:c r="B17" s="14" t="str">
        <x:f>Use_Cases!B17</x:f>
        <x:v>Sales</x:v>
      </x:c>
      <x:c r="C17" s="14" t="str">
        <x:f>Use_Cases!C17</x:f>
        <x:v>Lead Prioritization</x:v>
      </x:c>
      <x:c r="D17" s="14" t="n">
        <x:f>Use_Cases!F17</x:f>
        <x:v>4</x:v>
      </x:c>
      <x:c r="E17" s="14" t="n">
        <x:f>Use_Cases!G17</x:f>
        <x:v>5</x:v>
      </x:c>
      <x:c r="F17" s="14" t="n">
        <x:f>Use_Cases!H17</x:f>
        <x:v>4</x:v>
      </x:c>
      <x:c r="G17" s="14" t="n">
        <x:f>6-Use_Cases!I17</x:f>
        <x:v>4</x:v>
      </x:c>
      <x:c r="H17" s="14" t="n">
        <x:f>6-Use_Cases!J17</x:f>
        <x:v>3</x:v>
      </x:c>
      <x:c r="I17" s="34" t="n">
        <x:f>Use_Cases!K17/Use_Cases!L17</x:f>
        <x:v>2.857142857142857</x:v>
      </x:c>
      <x:c r="J17" s="14" t="n">
        <x:f>IF(I17&gt;=4,5,IF(I17&gt;=3,4,IF(I17&gt;=2,3,IF(I17&gt;=1.5,2,1))))</x:f>
        <x:v>3</x:v>
      </x:c>
      <x:c r="K17" s="32" t="n">
        <x:f>(0.30*D17+0.20*E17+0.15*F17+0.15*G17+0.10*H17+0.10*J17)*20</x:f>
        <x:v>80</x:v>
      </x:c>
      <x:c r="L17" s="14" t="str">
        <x:f>IF(K17&gt;=80,"High",IF(K17&gt;=65,"Medium","Low"))</x:f>
        <x:v>High</x:v>
      </x:c>
      <x:c r="M17" s="14" t="str">
        <x:f>IF(AND(K17&gt;=80,E17&gt;=4,Use_Cases!I17&lt;=3,Use_Cases!J17&lt;=3),"Yes","No")</x:f>
        <x:v>Yes</x:v>
      </x:c>
      <x:c r="N17" s="14" t="str">
        <x:f>IF(M17="Yes","Phase 1 - Quick Wins",IF(K17&gt;=75,"Phase 2 - Scale","Phase 3 - Strategic / Later"))</x:f>
        <x:v>Phase 1 - Quick Wins</x:v>
      </x:c>
    </x:row>
    <x:row r="18">
      <x:c r="A18" s="14" t="str">
        <x:f>Use_Cases!A18</x:f>
        <x:v>AI-17</x:v>
      </x:c>
      <x:c r="B18" s="14" t="str">
        <x:f>Use_Cases!B18</x:f>
        <x:v>Sales</x:v>
      </x:c>
      <x:c r="C18" s="14" t="str">
        <x:f>Use_Cases!C18</x:f>
        <x:v>Proposal Drafting Assistant</x:v>
      </x:c>
      <x:c r="D18" s="14" t="n">
        <x:f>Use_Cases!F18</x:f>
        <x:v>3</x:v>
      </x:c>
      <x:c r="E18" s="14" t="n">
        <x:f>Use_Cases!G18</x:f>
        <x:v>5</x:v>
      </x:c>
      <x:c r="F18" s="14" t="n">
        <x:f>Use_Cases!H18</x:f>
        <x:v>4</x:v>
      </x:c>
      <x:c r="G18" s="14" t="n">
        <x:f>6-Use_Cases!I18</x:f>
        <x:v>4</x:v>
      </x:c>
      <x:c r="H18" s="14" t="n">
        <x:f>6-Use_Cases!J18</x:f>
        <x:v>4</x:v>
      </x:c>
      <x:c r="I18" s="34" t="n">
        <x:f>Use_Cases!K18/Use_Cases!L18</x:f>
        <x:v>3.142857142857143</x:v>
      </x:c>
      <x:c r="J18" s="14" t="n">
        <x:f>IF(I18&gt;=4,5,IF(I18&gt;=3,4,IF(I18&gt;=2,3,IF(I18&gt;=1.5,2,1))))</x:f>
        <x:v>4</x:v>
      </x:c>
      <x:c r="K18" s="32" t="n">
        <x:f>(0.30*D18+0.20*E18+0.15*F18+0.15*G18+0.10*H18+0.10*J18)*20</x:f>
        <x:v>78</x:v>
      </x:c>
      <x:c r="L18" s="14" t="str">
        <x:f>IF(K18&gt;=80,"High",IF(K18&gt;=65,"Medium","Low"))</x:f>
        <x:v>Medium</x:v>
      </x:c>
      <x:c r="M18" s="14" t="str">
        <x:f>IF(AND(K18&gt;=80,E18&gt;=4,Use_Cases!I18&lt;=3,Use_Cases!J18&lt;=3),"Yes","No")</x:f>
        <x:v>No</x:v>
      </x:c>
      <x:c r="N18" s="14" t="str">
        <x:f>IF(M18="Yes","Phase 1 - Quick Wins",IF(K18&gt;=75,"Phase 2 - Scale","Phase 3 - Strategic / Later"))</x:f>
        <x:v>Phase 2 - Scale</x:v>
      </x:c>
    </x:row>
    <x:row r="19">
      <x:c r="A19" s="14" t="str">
        <x:f>Use_Cases!A19</x:f>
        <x:v>AI-18</x:v>
      </x:c>
      <x:c r="B19" s="14" t="str">
        <x:f>Use_Cases!B19</x:f>
        <x:v>Sales</x:v>
      </x:c>
      <x:c r="C19" s="14" t="str">
        <x:f>Use_Cases!C19</x:f>
        <x:v>Customer Churn Prediction</x:v>
      </x:c>
      <x:c r="D19" s="14" t="n">
        <x:f>Use_Cases!F19</x:f>
        <x:v>4</x:v>
      </x:c>
      <x:c r="E19" s="14" t="n">
        <x:f>Use_Cases!G19</x:f>
        <x:v>3</x:v>
      </x:c>
      <x:c r="F19" s="14" t="n">
        <x:f>Use_Cases!H19</x:f>
        <x:v>3</x:v>
      </x:c>
      <x:c r="G19" s="14" t="n">
        <x:f>6-Use_Cases!I19</x:f>
        <x:v>2</x:v>
      </x:c>
      <x:c r="H19" s="14" t="n">
        <x:f>6-Use_Cases!J19</x:f>
        <x:v>3</x:v>
      </x:c>
      <x:c r="I19" s="34" t="n">
        <x:f>Use_Cases!K19/Use_Cases!L19</x:f>
        <x:v>1.6428571428571428</x:v>
      </x:c>
      <x:c r="J19" s="14" t="n">
        <x:f>IF(I19&gt;=4,5,IF(I19&gt;=3,4,IF(I19&gt;=2,3,IF(I19&gt;=1.5,2,1))))</x:f>
        <x:v>2</x:v>
      </x:c>
      <x:c r="K19" s="32" t="n">
        <x:f>(0.30*D19+0.20*E19+0.15*F19+0.15*G19+0.10*H19+0.10*J19)*20</x:f>
        <x:v>61</x:v>
      </x:c>
      <x:c r="L19" s="14" t="str">
        <x:f>IF(K19&gt;=80,"High",IF(K19&gt;=65,"Medium","Low"))</x:f>
        <x:v>Low</x:v>
      </x:c>
      <x:c r="M19" s="14" t="str">
        <x:f>IF(AND(K19&gt;=80,E19&gt;=4,Use_Cases!I19&lt;=3,Use_Cases!J19&lt;=3),"Yes","No")</x:f>
        <x:v>No</x:v>
      </x:c>
      <x:c r="N19" s="14" t="str">
        <x:f>IF(M19="Yes","Phase 1 - Quick Wins",IF(K19&gt;=75,"Phase 2 - Scale","Phase 3 - Strategic / Later"))</x:f>
        <x:v>Phase 3 - Strategic / Later</x:v>
      </x:c>
    </x:row>
    <x:row r="20">
      <x:c r="A20" s="14" t="str">
        <x:f>Use_Cases!A20</x:f>
        <x:v>AI-19</x:v>
      </x:c>
      <x:c r="B20" s="14" t="str">
        <x:f>Use_Cases!B20</x:f>
        <x:v>Operations</x:v>
      </x:c>
      <x:c r="C20" s="14" t="str">
        <x:f>Use_Cases!C20</x:f>
        <x:v>Predictive Maintenance</x:v>
      </x:c>
      <x:c r="D20" s="14" t="n">
        <x:f>Use_Cases!F20</x:f>
        <x:v>5</x:v>
      </x:c>
      <x:c r="E20" s="14" t="n">
        <x:f>Use_Cases!G20</x:f>
        <x:v>3</x:v>
      </x:c>
      <x:c r="F20" s="14" t="n">
        <x:f>Use_Cases!H20</x:f>
        <x:v>4</x:v>
      </x:c>
      <x:c r="G20" s="14" t="n">
        <x:f>6-Use_Cases!I20</x:f>
        <x:v>1</x:v>
      </x:c>
      <x:c r="H20" s="14" t="n">
        <x:f>6-Use_Cases!J20</x:f>
        <x:v>3</x:v>
      </x:c>
      <x:c r="I20" s="34" t="n">
        <x:f>Use_Cases!K20/Use_Cases!L20</x:f>
        <x:v>1.7307692307692308</x:v>
      </x:c>
      <x:c r="J20" s="14" t="n">
        <x:f>IF(I20&gt;=4,5,IF(I20&gt;=3,4,IF(I20&gt;=2,3,IF(I20&gt;=1.5,2,1))))</x:f>
        <x:v>2</x:v>
      </x:c>
      <x:c r="K20" s="32" t="n">
        <x:f>(0.30*D20+0.20*E20+0.15*F20+0.15*G20+0.10*H20+0.10*J20)*20</x:f>
        <x:v>67.00000000000001</x:v>
      </x:c>
      <x:c r="L20" s="14" t="str">
        <x:f>IF(K20&gt;=80,"High",IF(K20&gt;=65,"Medium","Low"))</x:f>
        <x:v>Medium</x:v>
      </x:c>
      <x:c r="M20" s="14" t="str">
        <x:f>IF(AND(K20&gt;=80,E20&gt;=4,Use_Cases!I20&lt;=3,Use_Cases!J20&lt;=3),"Yes","No")</x:f>
        <x:v>No</x:v>
      </x:c>
      <x:c r="N20" s="14" t="str">
        <x:f>IF(M20="Yes","Phase 1 - Quick Wins",IF(K20&gt;=75,"Phase 2 - Scale","Phase 3 - Strategic / Later"))</x:f>
        <x:v>Phase 3 - Strategic / Later</x:v>
      </x:c>
    </x:row>
    <x:row r="21">
      <x:c r="A21" s="14" t="str">
        <x:f>Use_Cases!A21</x:f>
        <x:v>AI-20</x:v>
      </x:c>
      <x:c r="B21" s="14" t="str">
        <x:f>Use_Cases!B21</x:f>
        <x:v>Operations</x:v>
      </x:c>
      <x:c r="C21" s="14" t="str">
        <x:f>Use_Cases!C21</x:f>
        <x:v>Visual Quality Inspection</x:v>
      </x:c>
      <x:c r="D21" s="14" t="n">
        <x:f>Use_Cases!F21</x:f>
        <x:v>5</x:v>
      </x:c>
      <x:c r="E21" s="14" t="n">
        <x:f>Use_Cases!G21</x:f>
        <x:v>3</x:v>
      </x:c>
      <x:c r="F21" s="14" t="n">
        <x:f>Use_Cases!H21</x:f>
        <x:v>3</x:v>
      </x:c>
      <x:c r="G21" s="14" t="n">
        <x:f>6-Use_Cases!I21</x:f>
        <x:v>1</x:v>
      </x:c>
      <x:c r="H21" s="14" t="n">
        <x:f>6-Use_Cases!J21</x:f>
        <x:v>3</x:v>
      </x:c>
      <x:c r="I21" s="34" t="n">
        <x:f>Use_Cases!K21/Use_Cases!L21</x:f>
        <x:v>1.56</x:v>
      </x:c>
      <x:c r="J21" s="14" t="n">
        <x:f>IF(I21&gt;=4,5,IF(I21&gt;=3,4,IF(I21&gt;=2,3,IF(I21&gt;=1.5,2,1))))</x:f>
        <x:v>2</x:v>
      </x:c>
      <x:c r="K21" s="32" t="n">
        <x:f>(0.30*D21+0.20*E21+0.15*F21+0.15*G21+0.10*H21+0.10*J21)*20</x:f>
        <x:v>64</x:v>
      </x:c>
      <x:c r="L21" s="14" t="str">
        <x:f>IF(K21&gt;=80,"High",IF(K21&gt;=65,"Medium","Low"))</x:f>
        <x:v>Low</x:v>
      </x:c>
      <x:c r="M21" s="14" t="str">
        <x:f>IF(AND(K21&gt;=80,E21&gt;=4,Use_Cases!I21&lt;=3,Use_Cases!J21&lt;=3),"Yes","No")</x:f>
        <x:v>No</x:v>
      </x:c>
      <x:c r="N21" s="14" t="str">
        <x:f>IF(M21="Yes","Phase 1 - Quick Wins",IF(K21&gt;=75,"Phase 2 - Scale","Phase 3 - Strategic / Later"))</x:f>
        <x:v>Phase 3 - Strategic / Later</x:v>
      </x:c>
    </x:row>
    <x:row r="22">
      <x:c r="A22" s="14" t="str">
        <x:f>Use_Cases!A22</x:f>
        <x:v>AI-21</x:v>
      </x:c>
      <x:c r="B22" s="14" t="str">
        <x:f>Use_Cases!B22</x:f>
        <x:v>Operations</x:v>
      </x:c>
      <x:c r="C22" s="14" t="str">
        <x:f>Use_Cases!C22</x:f>
        <x:v>Shift Handover Summarization</x:v>
      </x:c>
      <x:c r="D22" s="14" t="n">
        <x:f>Use_Cases!F22</x:f>
        <x:v>3</x:v>
      </x:c>
      <x:c r="E22" s="14" t="n">
        <x:f>Use_Cases!G22</x:f>
        <x:v>5</x:v>
      </x:c>
      <x:c r="F22" s="14" t="n">
        <x:f>Use_Cases!H22</x:f>
        <x:v>4</x:v>
      </x:c>
      <x:c r="G22" s="14" t="n">
        <x:f>6-Use_Cases!I22</x:f>
        <x:v>4</x:v>
      </x:c>
      <x:c r="H22" s="14" t="n">
        <x:f>6-Use_Cases!J22</x:f>
        <x:v>4</x:v>
      </x:c>
      <x:c r="I22" s="34" t="n">
        <x:f>Use_Cases!K22/Use_Cases!L22</x:f>
        <x:v>3</x:v>
      </x:c>
      <x:c r="J22" s="14" t="n">
        <x:f>IF(I22&gt;=4,5,IF(I22&gt;=3,4,IF(I22&gt;=2,3,IF(I22&gt;=1.5,2,1))))</x:f>
        <x:v>4</x:v>
      </x:c>
      <x:c r="K22" s="32" t="n">
        <x:f>(0.30*D22+0.20*E22+0.15*F22+0.15*G22+0.10*H22+0.10*J22)*20</x:f>
        <x:v>78</x:v>
      </x:c>
      <x:c r="L22" s="14" t="str">
        <x:f>IF(K22&gt;=80,"High",IF(K22&gt;=65,"Medium","Low"))</x:f>
        <x:v>Medium</x:v>
      </x:c>
      <x:c r="M22" s="14" t="str">
        <x:f>IF(AND(K22&gt;=80,E22&gt;=4,Use_Cases!I22&lt;=3,Use_Cases!J22&lt;=3),"Yes","No")</x:f>
        <x:v>No</x:v>
      </x:c>
      <x:c r="N22" s="14" t="str">
        <x:f>IF(M22="Yes","Phase 1 - Quick Wins",IF(K22&gt;=75,"Phase 2 - Scale","Phase 3 - Strategic / Later"))</x:f>
        <x:v>Phase 2 - Scale</x:v>
      </x:c>
    </x:row>
    <x:row r="23">
      <x:c r="A23" s="14" t="str">
        <x:f>Use_Cases!A23</x:f>
        <x:v>AI-22</x:v>
      </x:c>
      <x:c r="B23" s="14" t="str">
        <x:f>Use_Cases!B23</x:f>
        <x:v>IT</x:v>
      </x:c>
      <x:c r="C23" s="14" t="str">
        <x:f>Use_Cases!C23</x:f>
        <x:v>Internal IT Helpdesk Assistant</x:v>
      </x:c>
      <x:c r="D23" s="14" t="n">
        <x:f>Use_Cases!F23</x:f>
        <x:v>4</x:v>
      </x:c>
      <x:c r="E23" s="14" t="n">
        <x:f>Use_Cases!G23</x:f>
        <x:v>5</x:v>
      </x:c>
      <x:c r="F23" s="14" t="n">
        <x:f>Use_Cases!H23</x:f>
        <x:v>5</x:v>
      </x:c>
      <x:c r="G23" s="14" t="n">
        <x:f>6-Use_Cases!I23</x:f>
        <x:v>4</x:v>
      </x:c>
      <x:c r="H23" s="14" t="n">
        <x:f>6-Use_Cases!J23</x:f>
        <x:v>4</x:v>
      </x:c>
      <x:c r="I23" s="34" t="n">
        <x:f>Use_Cases!K23/Use_Cases!L23</x:f>
        <x:v>3.3333333333333335</x:v>
      </x:c>
      <x:c r="J23" s="14" t="n">
        <x:f>IF(I23&gt;=4,5,IF(I23&gt;=3,4,IF(I23&gt;=2,3,IF(I23&gt;=1.5,2,1))))</x:f>
        <x:v>4</x:v>
      </x:c>
      <x:c r="K23" s="32" t="n">
        <x:f>(0.30*D23+0.20*E23+0.15*F23+0.15*G23+0.10*H23+0.10*J23)*20</x:f>
        <x:v>87.00000000000001</x:v>
      </x:c>
      <x:c r="L23" s="14" t="str">
        <x:f>IF(K23&gt;=80,"High",IF(K23&gt;=65,"Medium","Low"))</x:f>
        <x:v>High</x:v>
      </x:c>
      <x:c r="M23" s="14" t="str">
        <x:f>IF(AND(K23&gt;=80,E23&gt;=4,Use_Cases!I23&lt;=3,Use_Cases!J23&lt;=3),"Yes","No")</x:f>
        <x:v>Yes</x:v>
      </x:c>
      <x:c r="N23" s="14" t="str">
        <x:f>IF(M23="Yes","Phase 1 - Quick Wins",IF(K23&gt;=75,"Phase 2 - Scale","Phase 3 - Strategic / Later"))</x:f>
        <x:v>Phase 1 - Quick Wins</x:v>
      </x:c>
    </x:row>
    <x:row r="24">
      <x:c r="A24" s="14" t="str">
        <x:f>Use_Cases!A24</x:f>
        <x:v>AI-23</x:v>
      </x:c>
      <x:c r="B24" s="14" t="str">
        <x:f>Use_Cases!B24</x:f>
        <x:v>IT</x:v>
      </x:c>
      <x:c r="C24" s="14" t="str">
        <x:f>Use_Cases!C24</x:f>
        <x:v>Incident Root Cause Assistant</x:v>
      </x:c>
      <x:c r="D24" s="14" t="n">
        <x:f>Use_Cases!F24</x:f>
        <x:v>4</x:v>
      </x:c>
      <x:c r="E24" s="14" t="n">
        <x:f>Use_Cases!G24</x:f>
        <x:v>4</x:v>
      </x:c>
      <x:c r="F24" s="14" t="n">
        <x:f>Use_Cases!H24</x:f>
        <x:v>4</x:v>
      </x:c>
      <x:c r="G24" s="14" t="n">
        <x:f>6-Use_Cases!I24</x:f>
        <x:v>3</x:v>
      </x:c>
      <x:c r="H24" s="14" t="n">
        <x:f>6-Use_Cases!J24</x:f>
        <x:v>3</x:v>
      </x:c>
      <x:c r="I24" s="34" t="n">
        <x:f>Use_Cases!K24/Use_Cases!L24</x:f>
        <x:v>2.3333333333333335</x:v>
      </x:c>
      <x:c r="J24" s="14" t="n">
        <x:f>IF(I24&gt;=4,5,IF(I24&gt;=3,4,IF(I24&gt;=2,3,IF(I24&gt;=1.5,2,1))))</x:f>
        <x:v>3</x:v>
      </x:c>
      <x:c r="K24" s="32" t="n">
        <x:f>(0.30*D24+0.20*E24+0.15*F24+0.15*G24+0.10*H24+0.10*J24)*20</x:f>
        <x:v>72.99999999999999</x:v>
      </x:c>
      <x:c r="L24" s="14" t="str">
        <x:f>IF(K24&gt;=80,"High",IF(K24&gt;=65,"Medium","Low"))</x:f>
        <x:v>Medium</x:v>
      </x:c>
      <x:c r="M24" s="14" t="str">
        <x:f>IF(AND(K24&gt;=80,E24&gt;=4,Use_Cases!I24&lt;=3,Use_Cases!J24&lt;=3),"Yes","No")</x:f>
        <x:v>No</x:v>
      </x:c>
      <x:c r="N24" s="14" t="str">
        <x:f>IF(M24="Yes","Phase 1 - Quick Wins",IF(K24&gt;=75,"Phase 2 - Scale","Phase 3 - Strategic / Later"))</x:f>
        <x:v>Phase 3 - Strategic / Later</x:v>
      </x:c>
    </x:row>
    <x:row r="25">
      <x:c r="A25" s="14" t="str">
        <x:f>Use_Cases!A25</x:f>
        <x:v>AI-24</x:v>
      </x:c>
      <x:c r="B25" s="14" t="str">
        <x:f>Use_Cases!B25</x:f>
        <x:v>IT</x:v>
      </x:c>
      <x:c r="C25" s="14" t="str">
        <x:f>Use_Cases!C25</x:f>
        <x:v>Secure Enterprise Search / RAG</x:v>
      </x:c>
      <x:c r="D25" s="14" t="n">
        <x:f>Use_Cases!F25</x:f>
        <x:v>5</x:v>
      </x:c>
      <x:c r="E25" s="14" t="n">
        <x:f>Use_Cases!G25</x:f>
        <x:v>4</x:v>
      </x:c>
      <x:c r="F25" s="14" t="n">
        <x:f>Use_Cases!H25</x:f>
        <x:v>4</x:v>
      </x:c>
      <x:c r="G25" s="14" t="n">
        <x:f>6-Use_Cases!I25</x:f>
        <x:v>2</x:v>
      </x:c>
      <x:c r="H25" s="14" t="n">
        <x:f>6-Use_Cases!J25</x:f>
        <x:v>2</x:v>
      </x:c>
      <x:c r="I25" s="34" t="n">
        <x:f>Use_Cases!K25/Use_Cases!L25</x:f>
        <x:v>1.8666666666666667</x:v>
      </x:c>
      <x:c r="J25" s="14" t="n">
        <x:f>IF(I25&gt;=4,5,IF(I25&gt;=3,4,IF(I25&gt;=2,3,IF(I25&gt;=1.5,2,1))))</x:f>
        <x:v>2</x:v>
      </x:c>
      <x:c r="K25" s="32" t="n">
        <x:f>(0.30*D25+0.20*E25+0.15*F25+0.15*G25+0.10*H25+0.10*J25)*20</x:f>
        <x:v>72</x:v>
      </x:c>
      <x:c r="L25" s="14" t="str">
        <x:f>IF(K25&gt;=80,"High",IF(K25&gt;=65,"Medium","Low"))</x:f>
        <x:v>Medium</x:v>
      </x:c>
      <x:c r="M25" s="14" t="str">
        <x:f>IF(AND(K25&gt;=80,E25&gt;=4,Use_Cases!I25&lt;=3,Use_Cases!J25&lt;=3),"Yes","No")</x:f>
        <x:v>No</x:v>
      </x:c>
      <x:c r="N25" s="14" t="str">
        <x:f>IF(M25="Yes","Phase 1 - Quick Wins",IF(K25&gt;=75,"Phase 2 - Scale","Phase 3 - Strategic / Later"))</x:f>
        <x:v>Phase 3 - Strategic / Later</x:v>
      </x:c>
    </x:row>
  </x:sheetData>
  <x:conditionalFormatting sqref="K2:K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25">
    <x:cfRule type="expression" dxfId="0" priority="2">
      <x:formula>L2="High"</x:formula>
    </x:cfRule>
  </x:conditionalFormatting>
  <x:conditionalFormatting sqref="M2:M25">
    <x:cfRule type="expression" dxfId="1" priority="3">
      <x:formula>M2="Yes"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0d0996b3f14f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2" hidden="0" customWidth="1"/>
    <x:col min="4" max="4" width="15" hidden="0" customWidth="1"/>
    <x:col min="5" max="5" width="12" hidden="0" customWidth="1"/>
    <x:col min="6" max="6" width="20" hidden="0" customWidth="1"/>
    <x:col min="7" max="7" width="22" hidden="0" customWidth="1"/>
  </x:cols>
  <x:sheetData>
    <x:row r="1">
      <x:c r="A1" s="18" t="str">
        <x:v>Department</x:v>
      </x:c>
      <x:c r="B1" s="18" t="str">
        <x:v>Use_Cases</x:v>
      </x:c>
      <x:c r="C1" s="18" t="str">
        <x:v>Average_Priority_Score</x:v>
      </x:c>
      <x:c r="D1" s="18" t="str">
        <x:v>High_Priority</x:v>
      </x:c>
      <x:c r="E1" s="18" t="str">
        <x:v>Quick_Wins</x:v>
      </x:c>
      <x:c r="F1" s="18" t="str">
        <x:v>Annual_Value_kEUR</x:v>
      </x:c>
      <x:c r="G1" s="18" t="str">
        <x:v>Implementation_Cost_kEUR</x:v>
      </x:c>
    </x:row>
    <x:row r="2">
      <x:c r="A2" s="14" t="str">
        <x:v>Finance</x:v>
      </x:c>
      <x:c r="B2" s="14" t="n">
        <x:f>COUNTIF(Prioritization!$B$2:$B$25,A2)</x:f>
        <x:v>3</x:v>
      </x:c>
      <x:c r="C2" s="32" t="n">
        <x:f>SUMIF(Prioritization!$B$2:$B$25,A2,Prioritization!$K$2:$K$25)/B2</x:f>
        <x:v>76.66666666666667</x:v>
      </x:c>
      <x:c r="D2" s="14" t="n">
        <x:f>COUNTIFS(Prioritization!$B$2:$B$25,A2,Prioritization!$L$2:$L$25,"High")</x:f>
        <x:v>1</x:v>
      </x:c>
      <x:c r="E2" s="14" t="n">
        <x:f>COUNTIFS(Prioritization!$B$2:$B$25,A2,Prioritization!$M$2:$M$25,"Yes")</x:f>
        <x:v>1</x:v>
      </x:c>
      <x:c r="F2" s="14" t="n">
        <x:f>SUMIF(Use_Cases!$B$2:$B$25,A2,Use_Cases!$K$2:$K$25)</x:f>
        <x:v>660</x:v>
      </x:c>
      <x:c r="G2" s="14" t="n">
        <x:f>SUMIF(Use_Cases!$B$2:$B$25,A2,Use_Cases!$L$2:$L$25)</x:f>
        <x:v>310</x:v>
      </x:c>
    </x:row>
    <x:row r="3">
      <x:c r="A3" s="14" t="str">
        <x:v>HR</x:v>
      </x:c>
      <x:c r="B3" s="14" t="n">
        <x:f>COUNTIF(Prioritization!$B$2:$B$25,A3)</x:f>
        <x:v>3</x:v>
      </x:c>
      <x:c r="C3" s="32" t="n">
        <x:f>SUMIF(Prioritization!$B$2:$B$25,A3,Prioritization!$K$2:$K$25)/B3</x:f>
        <x:v>68.33333333333333</x:v>
      </x:c>
      <x:c r="D3" s="14" t="n">
        <x:f>COUNTIFS(Prioritization!$B$2:$B$25,A3,Prioritization!$L$2:$L$25,"High")</x:f>
        <x:v>1</x:v>
      </x:c>
      <x:c r="E3" s="14" t="n">
        <x:f>COUNTIFS(Prioritization!$B$2:$B$25,A3,Prioritization!$M$2:$M$25,"Yes")</x:f>
        <x:v>1</x:v>
      </x:c>
      <x:c r="F3" s="14" t="n">
        <x:f>SUMIF(Use_Cases!$B$2:$B$25,A3,Use_Cases!$K$2:$K$25)</x:f>
        <x:v>290</x:v>
      </x:c>
      <x:c r="G3" s="14" t="n">
        <x:f>SUMIF(Use_Cases!$B$2:$B$25,A3,Use_Cases!$L$2:$L$25)</x:f>
        <x:v>140</x:v>
      </x:c>
    </x:row>
    <x:row r="4">
      <x:c r="A4" s="14" t="str">
        <x:v>Procurement</x:v>
      </x:c>
      <x:c r="B4" s="14" t="n">
        <x:f>COUNTIF(Prioritization!$B$2:$B$25,A4)</x:f>
        <x:v>3</x:v>
      </x:c>
      <x:c r="C4" s="32" t="n">
        <x:f>SUMIF(Prioritization!$B$2:$B$25,A4,Prioritization!$K$2:$K$25)/B4</x:f>
        <x:v>75</x:v>
      </x:c>
      <x:c r="D4" s="14" t="n">
        <x:f>COUNTIFS(Prioritization!$B$2:$B$25,A4,Prioritization!$L$2:$L$25,"High")</x:f>
        <x:v>1</x:v>
      </x:c>
      <x:c r="E4" s="14" t="n">
        <x:f>COUNTIFS(Prioritization!$B$2:$B$25,A4,Prioritization!$M$2:$M$25,"Yes")</x:f>
        <x:v>1</x:v>
      </x:c>
      <x:c r="F4" s="14" t="n">
        <x:f>SUMIF(Use_Cases!$B$2:$B$25,A4,Use_Cases!$K$2:$K$25)</x:f>
        <x:v>590</x:v>
      </x:c>
      <x:c r="G4" s="14" t="n">
        <x:f>SUMIF(Use_Cases!$B$2:$B$25,A4,Use_Cases!$L$2:$L$25)</x:f>
        <x:v>285</x:v>
      </x:c>
    </x:row>
    <x:row r="5">
      <x:c r="A5" s="14" t="str">
        <x:v>Customer Service</x:v>
      </x:c>
      <x:c r="B5" s="14" t="n">
        <x:f>COUNTIF(Prioritization!$B$2:$B$25,A5)</x:f>
        <x:v>3</x:v>
      </x:c>
      <x:c r="C5" s="32" t="n">
        <x:f>SUMIF(Prioritization!$B$2:$B$25,A5,Prioritization!$K$2:$K$25)/B5</x:f>
        <x:v>84.66666666666667</x:v>
      </x:c>
      <x:c r="D5" s="14" t="n">
        <x:f>COUNTIFS(Prioritization!$B$2:$B$25,A5,Prioritization!$L$2:$L$25,"High")</x:f>
        <x:v>3</x:v>
      </x:c>
      <x:c r="E5" s="14" t="n">
        <x:f>COUNTIFS(Prioritization!$B$2:$B$25,A5,Prioritization!$M$2:$M$25,"Yes")</x:f>
        <x:v>3</x:v>
      </x:c>
      <x:c r="F5" s="14" t="n">
        <x:f>SUMIF(Use_Cases!$B$2:$B$25,A5,Use_Cases!$K$2:$K$25)</x:f>
        <x:v>600</x:v>
      </x:c>
      <x:c r="G5" s="14" t="n">
        <x:f>SUMIF(Use_Cases!$B$2:$B$25,A5,Use_Cases!$L$2:$L$25)</x:f>
        <x:v>200</x:v>
      </x:c>
    </x:row>
    <x:row r="6">
      <x:c r="A6" s="14" t="str">
        <x:v>Supply Chain</x:v>
      </x:c>
      <x:c r="B6" s="14" t="n">
        <x:f>COUNTIF(Prioritization!$B$2:$B$25,A6)</x:f>
        <x:v>3</x:v>
      </x:c>
      <x:c r="C6" s="32" t="n">
        <x:f>SUMIF(Prioritization!$B$2:$B$25,A6,Prioritization!$K$2:$K$25)/B6</x:f>
        <x:v>72</x:v>
      </x:c>
      <x:c r="D6" s="14" t="n">
        <x:f>COUNTIFS(Prioritization!$B$2:$B$25,A6,Prioritization!$L$2:$L$25,"High")</x:f>
        <x:v>0</x:v>
      </x:c>
      <x:c r="E6" s="14" t="n">
        <x:f>COUNTIFS(Prioritization!$B$2:$B$25,A6,Prioritization!$M$2:$M$25,"Yes")</x:f>
        <x:v>0</x:v>
      </x:c>
      <x:c r="F6" s="14" t="n">
        <x:f>SUMIF(Use_Cases!$B$2:$B$25,A6,Use_Cases!$K$2:$K$25)</x:f>
        <x:v>910</x:v>
      </x:c>
      <x:c r="G6" s="14" t="n">
        <x:f>SUMIF(Use_Cases!$B$2:$B$25,A6,Use_Cases!$L$2:$L$25)</x:f>
        <x:v>470</x:v>
      </x:c>
    </x:row>
    <x:row r="7">
      <x:c r="A7" s="14" t="str">
        <x:v>Sales</x:v>
      </x:c>
      <x:c r="B7" s="14" t="n">
        <x:f>COUNTIF(Prioritization!$B$2:$B$25,A7)</x:f>
        <x:v>3</x:v>
      </x:c>
      <x:c r="C7" s="32" t="n">
        <x:f>SUMIF(Prioritization!$B$2:$B$25,A7,Prioritization!$K$2:$K$25)/B7</x:f>
        <x:v>73</x:v>
      </x:c>
      <x:c r="D7" s="14" t="n">
        <x:f>COUNTIFS(Prioritization!$B$2:$B$25,A7,Prioritization!$L$2:$L$25,"High")</x:f>
        <x:v>1</x:v>
      </x:c>
      <x:c r="E7" s="14" t="n">
        <x:f>COUNTIFS(Prioritization!$B$2:$B$25,A7,Prioritization!$M$2:$M$25,"Yes")</x:f>
        <x:v>1</x:v>
      </x:c>
      <x:c r="F7" s="14" t="n">
        <x:f>SUMIF(Use_Cases!$B$2:$B$25,A7,Use_Cases!$K$2:$K$25)</x:f>
        <x:v>540</x:v>
      </x:c>
      <x:c r="G7" s="14" t="n">
        <x:f>SUMIF(Use_Cases!$B$2:$B$25,A7,Use_Cases!$L$2:$L$25)</x:f>
        <x:v>245</x:v>
      </x:c>
    </x:row>
    <x:row r="8">
      <x:c r="A8" s="14" t="str">
        <x:v>Operations</x:v>
      </x:c>
      <x:c r="B8" s="14" t="n">
        <x:f>COUNTIF(Prioritization!$B$2:$B$25,A8)</x:f>
        <x:v>3</x:v>
      </x:c>
      <x:c r="C8" s="32" t="n">
        <x:f>SUMIF(Prioritization!$B$2:$B$25,A8,Prioritization!$K$2:$K$25)/B8</x:f>
        <x:v>69.66666666666667</x:v>
      </x:c>
      <x:c r="D8" s="14" t="n">
        <x:f>COUNTIFS(Prioritization!$B$2:$B$25,A8,Prioritization!$L$2:$L$25,"High")</x:f>
        <x:v>0</x:v>
      </x:c>
      <x:c r="E8" s="14" t="n">
        <x:f>COUNTIFS(Prioritization!$B$2:$B$25,A8,Prioritization!$M$2:$M$25,"Yes")</x:f>
        <x:v>0</x:v>
      </x:c>
      <x:c r="F8" s="14" t="n">
        <x:f>SUMIF(Use_Cases!$B$2:$B$25,A8,Use_Cases!$K$2:$K$25)</x:f>
        <x:v>930</x:v>
      </x:c>
      <x:c r="G8" s="14" t="n">
        <x:f>SUMIF(Use_Cases!$B$2:$B$25,A8,Use_Cases!$L$2:$L$25)</x:f>
        <x:v>540</x:v>
      </x:c>
    </x:row>
    <x:row r="9">
      <x:c r="A9" s="14" t="str">
        <x:v>IT</x:v>
      </x:c>
      <x:c r="B9" s="14" t="n">
        <x:f>COUNTIF(Prioritization!$B$2:$B$25,A9)</x:f>
        <x:v>3</x:v>
      </x:c>
      <x:c r="C9" s="32" t="n">
        <x:f>SUMIF(Prioritization!$B$2:$B$25,A9,Prioritization!$K$2:$K$25)/B9</x:f>
        <x:v>77.33333333333333</x:v>
      </x:c>
      <x:c r="D9" s="14" t="n">
        <x:f>COUNTIFS(Prioritization!$B$2:$B$25,A9,Prioritization!$L$2:$L$25,"High")</x:f>
        <x:v>1</x:v>
      </x:c>
      <x:c r="E9" s="14" t="n">
        <x:f>COUNTIFS(Prioritization!$B$2:$B$25,A9,Prioritization!$M$2:$M$25,"Yes")</x:f>
        <x:v>1</x:v>
      </x:c>
      <x:c r="F9" s="14" t="n">
        <x:f>SUMIF(Use_Cases!$B$2:$B$25,A9,Use_Cases!$K$2:$K$25)</x:f>
        <x:v>640</x:v>
      </x:c>
      <x:c r="G9" s="14" t="n">
        <x:f>SUMIF(Use_Cases!$B$2:$B$25,A9,Use_Cases!$L$2:$L$25)</x:f>
        <x:v>285</x:v>
      </x:c>
    </x:row>
  </x:sheetData>
  <x:conditionalFormatting sqref="C2:C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d8d60e7b4fa545c9"/>
  <x:tableParts count="1">
    <x:tablePart xmlns:r="http://schemas.openxmlformats.org/officeDocument/2006/relationships" r:id="Raccd0b841e1d4f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2" hidden="0" customWidth="1"/>
    <x:col min="4" max="4" width="38" hidden="0" customWidth="1"/>
    <x:col min="5" max="5" width="18" hidden="0" customWidth="1"/>
    <x:col min="6" max="6" width="15" hidden="0" customWidth="1"/>
    <x:col min="7" max="7" width="26" hidden="0" customWidth="1"/>
    <x:col min="8" max="8" width="48" hidden="0" customWidth="1"/>
    <x:col min="9" max="9" width="55" hidden="0" customWidth="1"/>
  </x:cols>
  <x:sheetData>
    <x:row r="1">
      <x:c r="A1" s="18" t="str">
        <x:v>Roadmap_ID</x:v>
      </x:c>
      <x:c r="B1" s="18" t="str">
        <x:v>Phase</x:v>
      </x:c>
      <x:c r="C1" s="18" t="str">
        <x:v>Use_Case_ID</x:v>
      </x:c>
      <x:c r="D1" s="18" t="str">
        <x:v>Use_Case</x:v>
      </x:c>
      <x:c r="E1" s="18" t="str">
        <x:v>Department</x:v>
      </x:c>
      <x:c r="F1" s="18" t="str">
        <x:v>Timing</x:v>
      </x:c>
      <x:c r="G1" s="18" t="str">
        <x:v>Business_Owner</x:v>
      </x:c>
      <x:c r="H1" s="18" t="str">
        <x:v>Pilot_Success_Metric</x:v>
      </x:c>
      <x:c r="I1" s="18" t="str">
        <x:v>Implementation_Note</x:v>
      </x:c>
    </x:row>
    <x:row r="2">
      <x:c r="A2" s="14" t="str">
        <x:v>RM-01</x:v>
      </x:c>
      <x:c r="B2" s="14" t="str">
        <x:v>Phase 1 - Quick Wins</x:v>
      </x:c>
      <x:c r="C2" s="14" t="str">
        <x:v>AI-01</x:v>
      </x:c>
      <x:c r="D2" s="14" t="str">
        <x:v>Invoice Processing Automation</x:v>
      </x:c>
      <x:c r="E2" s="14" t="str">
        <x:v>Finance</x:v>
      </x:c>
      <x:c r="F2" s="14" t="str">
        <x:v>0-3 months</x:v>
      </x:c>
      <x:c r="G2" s="14" t="str">
        <x:v>Finance Process Owner</x:v>
      </x:c>
      <x:c r="H2" s="14" t="str">
        <x:v>Reduce manual invoice entry time by 50% in pilot</x:v>
      </x:c>
      <x:c r="I2" s="14" t="str">
        <x:v>Start with one invoice type and human approval.</x:v>
      </x:c>
    </x:row>
    <x:row r="3">
      <x:c r="A3" s="14" t="str">
        <x:v>RM-02</x:v>
      </x:c>
      <x:c r="B3" s="14" t="str">
        <x:v>Phase 1 - Quick Wins</x:v>
      </x:c>
      <x:c r="C3" s="14" t="str">
        <x:v>AI-11</x:v>
      </x:c>
      <x:c r="D3" s="14" t="str">
        <x:v>Ticket Triage &amp; Routing</x:v>
      </x:c>
      <x:c r="E3" s="14" t="str">
        <x:v>Customer Service</x:v>
      </x:c>
      <x:c r="F3" s="14" t="str">
        <x:v>0-3 months</x:v>
      </x:c>
      <x:c r="G3" s="14" t="str">
        <x:v>Customer Service Manager</x:v>
      </x:c>
      <x:c r="H3" s="14" t="str">
        <x:v>Route &gt;=85% of pilot tickets to the correct queue</x:v>
      </x:c>
      <x:c r="I3" s="14" t="str">
        <x:v>Use confidence threshold and manual fallback.</x:v>
      </x:c>
    </x:row>
    <x:row r="4">
      <x:c r="A4" s="14" t="str">
        <x:v>RM-03</x:v>
      </x:c>
      <x:c r="B4" s="14" t="str">
        <x:v>Phase 1 - Quick Wins</x:v>
      </x:c>
      <x:c r="C4" s="14" t="str">
        <x:v>AI-22</x:v>
      </x:c>
      <x:c r="D4" s="14" t="str">
        <x:v>Internal IT Helpdesk Assistant</x:v>
      </x:c>
      <x:c r="E4" s="14" t="str">
        <x:v>IT</x:v>
      </x:c>
      <x:c r="F4" s="14" t="str">
        <x:v>0-3 months</x:v>
      </x:c>
      <x:c r="G4" s="14" t="str">
        <x:v>IT Service Desk Lead</x:v>
      </x:c>
      <x:c r="H4" s="14" t="str">
        <x:v>Deflect 25% of repetitive level-1 requests</x:v>
      </x:c>
      <x:c r="I4" s="14" t="str">
        <x:v>Restrict answers to approved IT knowledge.</x:v>
      </x:c>
    </x:row>
    <x:row r="5">
      <x:c r="A5" s="14" t="str">
        <x:v>RM-04</x:v>
      </x:c>
      <x:c r="B5" s="14" t="str">
        <x:v>Phase 1 - Quick Wins</x:v>
      </x:c>
      <x:c r="C5" s="14" t="str">
        <x:v>AI-08</x:v>
      </x:c>
      <x:c r="D5" s="14" t="str">
        <x:v>Spend Classification &amp; Supplier Insights</x:v>
      </x:c>
      <x:c r="E5" s="14" t="str">
        <x:v>Procurement</x:v>
      </x:c>
      <x:c r="F5" s="14" t="str">
        <x:v>0-3 months</x:v>
      </x:c>
      <x:c r="G5" s="14" t="str">
        <x:v>Procurement Analytics Lead</x:v>
      </x:c>
      <x:c r="H5" s="14" t="str">
        <x:v>Classify &gt;=90% of pilot spend lines with acceptable accuracy</x:v>
      </x:c>
      <x:c r="I5" s="14" t="str">
        <x:v>Begin with the highest-volume categories.</x:v>
      </x:c>
    </x:row>
    <x:row r="6">
      <x:c r="A6" s="14" t="str">
        <x:v>RM-05</x:v>
      </x:c>
      <x:c r="B6" s="14" t="str">
        <x:v>Phase 2 - Scale</x:v>
      </x:c>
      <x:c r="C6" s="14" t="str">
        <x:v>AI-10</x:v>
      </x:c>
      <x:c r="D6" s="14" t="str">
        <x:v>Support Copilot</x:v>
      </x:c>
      <x:c r="E6" s="14" t="str">
        <x:v>Customer Service</x:v>
      </x:c>
      <x:c r="F6" s="14" t="str">
        <x:v>3-6 months</x:v>
      </x:c>
      <x:c r="G6" s="14" t="str">
        <x:v>Customer Service Manager</x:v>
      </x:c>
      <x:c r="H6" s="14" t="str">
        <x:v>Reduce average handling time by 15% without lowering quality</x:v>
      </x:c>
      <x:c r="I6" s="14" t="str">
        <x:v>Keep human approval before sending responses.</x:v>
      </x:c>
    </x:row>
    <x:row r="7">
      <x:c r="A7" s="14" t="str">
        <x:v>RM-06</x:v>
      </x:c>
      <x:c r="B7" s="14" t="str">
        <x:v>Phase 2 - Scale</x:v>
      </x:c>
      <x:c r="C7" s="14" t="str">
        <x:v>AI-16</x:v>
      </x:c>
      <x:c r="D7" s="14" t="str">
        <x:v>Lead Prioritization</x:v>
      </x:c>
      <x:c r="E7" s="14" t="str">
        <x:v>Sales</x:v>
      </x:c>
      <x:c r="F7" s="14" t="str">
        <x:v>3-6 months</x:v>
      </x:c>
      <x:c r="G7" s="14" t="str">
        <x:v>Sales Operations</x:v>
      </x:c>
      <x:c r="H7" s="14" t="str">
        <x:v>Improve conversion rate of top-priority leads in pilot</x:v>
      </x:c>
      <x:c r="I7" s="14" t="str">
        <x:v>Use CRM history and monitor for feedback loops.</x:v>
      </x:c>
    </x:row>
    <x:row r="8">
      <x:c r="A8" s="14" t="str">
        <x:v>RM-07</x:v>
      </x:c>
      <x:c r="B8" s="14" t="str">
        <x:v>Phase 2 - Scale</x:v>
      </x:c>
      <x:c r="C8" s="14" t="str">
        <x:v>AI-13</x:v>
      </x:c>
      <x:c r="D8" s="14" t="str">
        <x:v>Demand Forecasting</x:v>
      </x:c>
      <x:c r="E8" s="14" t="str">
        <x:v>Supply Chain</x:v>
      </x:c>
      <x:c r="F8" s="14" t="str">
        <x:v>3-6 months</x:v>
      </x:c>
      <x:c r="G8" s="14" t="str">
        <x:v>Supply Chain Planning Lead</x:v>
      </x:c>
      <x:c r="H8" s="14" t="str">
        <x:v>Improve forecast accuracy versus current baseline</x:v>
      </x:c>
      <x:c r="I8" s="14" t="str">
        <x:v>Run model in shadow mode before planner adoption.</x:v>
      </x:c>
    </x:row>
    <x:row r="9">
      <x:c r="A9" s="14" t="str">
        <x:v>RM-08</x:v>
      </x:c>
      <x:c r="B9" s="14" t="str">
        <x:v>Phase 2 - Scale</x:v>
      </x:c>
      <x:c r="C9" s="14" t="str">
        <x:v>AI-04</x:v>
      </x:c>
      <x:c r="D9" s="14" t="str">
        <x:v>Employee Knowledge Assistant</x:v>
      </x:c>
      <x:c r="E9" s="14" t="str">
        <x:v>HR</x:v>
      </x:c>
      <x:c r="F9" s="14" t="str">
        <x:v>3-6 months</x:v>
      </x:c>
      <x:c r="G9" s="14" t="str">
        <x:v>HR Operations</x:v>
      </x:c>
      <x:c r="H9" s="14" t="str">
        <x:v>Reduce repeat policy questions to HR service desk</x:v>
      </x:c>
      <x:c r="I9" s="14" t="str">
        <x:v>Apply access controls and source citations.</x:v>
      </x:c>
    </x:row>
    <x:row r="10">
      <x:c r="A10" s="14" t="str">
        <x:v>RM-09</x:v>
      </x:c>
      <x:c r="B10" s="14" t="str">
        <x:v>Phase 3 - Strategic / Later</x:v>
      </x:c>
      <x:c r="C10" s="14" t="str">
        <x:v>AI-19</x:v>
      </x:c>
      <x:c r="D10" s="14" t="str">
        <x:v>Predictive Maintenance</x:v>
      </x:c>
      <x:c r="E10" s="14" t="str">
        <x:v>Operations</x:v>
      </x:c>
      <x:c r="F10" s="14" t="str">
        <x:v>6-12 months</x:v>
      </x:c>
      <x:c r="G10" s="14" t="str">
        <x:v>Maintenance Manager</x:v>
      </x:c>
      <x:c r="H10" s="14" t="str">
        <x:v>Reduce unplanned downtime in selected equipment group</x:v>
      </x:c>
      <x:c r="I10" s="14" t="str">
        <x:v>Requires sensor-data readiness assessment first.</x:v>
      </x:c>
    </x:row>
    <x:row r="11">
      <x:c r="A11" s="14" t="str">
        <x:v>RM-10</x:v>
      </x:c>
      <x:c r="B11" s="14" t="str">
        <x:v>Phase 3 - Strategic / Later</x:v>
      </x:c>
      <x:c r="C11" s="14" t="str">
        <x:v>AI-24</x:v>
      </x:c>
      <x:c r="D11" s="14" t="str">
        <x:v>Secure Enterprise Search / RAG</x:v>
      </x:c>
      <x:c r="E11" s="14" t="str">
        <x:v>IT</x:v>
      </x:c>
      <x:c r="F11" s="14" t="str">
        <x:v>6-12 months</x:v>
      </x:c>
      <x:c r="G11" s="14" t="str">
        <x:v>Enterprise Architecture</x:v>
      </x:c>
      <x:c r="H11" s="14" t="str">
        <x:v>Reduce time spent searching for approved internal information</x:v>
      </x:c>
      <x:c r="I11" s="14" t="str">
        <x:v>Information governance and permissions are prerequisites.</x:v>
      </x:c>
    </x:row>
  </x:sheetData>
  <x:conditionalFormatting sqref="B2:B11">
    <x:cfRule type="expression" dxfId="2" priority="1">
      <x:formula>LEFT(B2,7)="Phase 1"</x:formula>
    </x:cfRule>
    <x:cfRule type="expression" dxfId="3" priority="2">
      <x:formula>LEFT(B2,7)="Phase 2"</x:formula>
    </x:cfRule>
    <x:cfRule type="expression" dxfId="4" priority="3">
      <x:formula>LEFT(B2,7)="Phase 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e993e47b2043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4" hidden="0" customWidth="1"/>
    <x:col min="5" max="5" width="26" hidden="0" customWidth="1"/>
    <x:col min="6" max="6" width="50" hidden="0" customWidth="1"/>
  </x:cols>
  <x:sheetData>
    <x:row r="1">
      <x:c r="A1" s="18" t="str">
        <x:v>Department</x:v>
      </x:c>
      <x:c r="B1" s="18" t="str">
        <x:v>Executive_Sponsor</x:v>
      </x:c>
      <x:c r="C1" s="18" t="str">
        <x:v>Process_Owner</x:v>
      </x:c>
      <x:c r="D1" s="18" t="str">
        <x:v>Data_Owner</x:v>
      </x:c>
      <x:c r="E1" s="18" t="str">
        <x:v>IT_Partner</x:v>
      </x:c>
      <x:c r="F1" s="18" t="str">
        <x:v>Main_Concern</x:v>
      </x:c>
    </x:row>
    <x:row r="2">
      <x:c r="A2" s="14" t="str">
        <x:v>Finance</x:v>
      </x:c>
      <x:c r="B2" s="14" t="str">
        <x:v>CFO</x:v>
      </x:c>
      <x:c r="C2" s="14" t="str">
        <x:v>Accounts Payable Lead</x:v>
      </x:c>
      <x:c r="D2" s="14" t="str">
        <x:v>Finance Data Owner</x:v>
      </x:c>
      <x:c r="E2" s="14" t="str">
        <x:v>Enterprise Apps</x:v>
      </x:c>
      <x:c r="F2" s="14" t="str">
        <x:v>Accuracy of financial data and controls</x:v>
      </x:c>
    </x:row>
    <x:row r="3">
      <x:c r="A3" s="14" t="str">
        <x:v>HR</x:v>
      </x:c>
      <x:c r="B3" s="14" t="str">
        <x:v>HR Director</x:v>
      </x:c>
      <x:c r="C3" s="14" t="str">
        <x:v>HR Operations Lead</x:v>
      </x:c>
      <x:c r="D3" s="14" t="str">
        <x:v>HRIS Owner</x:v>
      </x:c>
      <x:c r="E3" s="14" t="str">
        <x:v>IT Applications</x:v>
      </x:c>
      <x:c r="F3" s="14" t="str">
        <x:v>Privacy, fairness and employee trust</x:v>
      </x:c>
    </x:row>
    <x:row r="4">
      <x:c r="A4" s="14" t="str">
        <x:v>Procurement</x:v>
      </x:c>
      <x:c r="B4" s="14" t="str">
        <x:v>Head of Procurement</x:v>
      </x:c>
      <x:c r="C4" s="14" t="str">
        <x:v>Category / Process Lead</x:v>
      </x:c>
      <x:c r="D4" s="14" t="str">
        <x:v>Procurement Data Owner</x:v>
      </x:c>
      <x:c r="E4" s="14" t="str">
        <x:v>ERP / Data Team</x:v>
      </x:c>
      <x:c r="F4" s="14" t="str">
        <x:v>Supplier-data quality and explainability</x:v>
      </x:c>
    </x:row>
    <x:row r="5">
      <x:c r="A5" s="14" t="str">
        <x:v>Customer Service</x:v>
      </x:c>
      <x:c r="B5" s="14" t="str">
        <x:v>Service Director</x:v>
      </x:c>
      <x:c r="C5" s="14" t="str">
        <x:v>Contact Center Manager</x:v>
      </x:c>
      <x:c r="D5" s="14" t="str">
        <x:v>CRM Owner</x:v>
      </x:c>
      <x:c r="E5" s="14" t="str">
        <x:v>CRM / Integration Team</x:v>
      </x:c>
      <x:c r="F5" s="14" t="str">
        <x:v>Response quality and customer experience</x:v>
      </x:c>
    </x:row>
    <x:row r="6">
      <x:c r="A6" s="14" t="str">
        <x:v>Supply Chain</x:v>
      </x:c>
      <x:c r="B6" s="14" t="str">
        <x:v>Supply Chain Director</x:v>
      </x:c>
      <x:c r="C6" s="14" t="str">
        <x:v>Planning Manager</x:v>
      </x:c>
      <x:c r="D6" s="14" t="str">
        <x:v>Planning Data Owner</x:v>
      </x:c>
      <x:c r="E6" s="14" t="str">
        <x:v>Data &amp; Analytics</x:v>
      </x:c>
      <x:c r="F6" s="14" t="str">
        <x:v>Forecast reliability and planner adoption</x:v>
      </x:c>
    </x:row>
    <x:row r="7">
      <x:c r="A7" s="14" t="str">
        <x:v>Sales</x:v>
      </x:c>
      <x:c r="B7" s="14" t="str">
        <x:v>Sales Director</x:v>
      </x:c>
      <x:c r="C7" s="14" t="str">
        <x:v>Sales Operations</x:v>
      </x:c>
      <x:c r="D7" s="14" t="str">
        <x:v>CRM Owner</x:v>
      </x:c>
      <x:c r="E7" s="14" t="str">
        <x:v>CRM / Data Team</x:v>
      </x:c>
      <x:c r="F7" s="14" t="str">
        <x:v>Commercial relevance and user adoption</x:v>
      </x:c>
    </x:row>
    <x:row r="8">
      <x:c r="A8" s="14" t="str">
        <x:v>Operations</x:v>
      </x:c>
      <x:c r="B8" s="14" t="str">
        <x:v>Plant Director</x:v>
      </x:c>
      <x:c r="C8" s="14" t="str">
        <x:v>Maintenance / Quality Manager</x:v>
      </x:c>
      <x:c r="D8" s="14" t="str">
        <x:v>OT Data Owner</x:v>
      </x:c>
      <x:c r="E8" s="14" t="str">
        <x:v>IT/OT</x:v>
      </x:c>
      <x:c r="F8" s="14" t="str">
        <x:v>Safety, reliability and integration effort</x:v>
      </x:c>
    </x:row>
    <x:row r="9">
      <x:c r="A9" s="14" t="str">
        <x:v>IT</x:v>
      </x:c>
      <x:c r="B9" s="14" t="str">
        <x:v>CIO</x:v>
      </x:c>
      <x:c r="C9" s="14" t="str">
        <x:v>Service Desk / Architecture</x:v>
      </x:c>
      <x:c r="D9" s="14" t="str">
        <x:v>IT Data Owners</x:v>
      </x:c>
      <x:c r="E9" s="14" t="str">
        <x:v>Information Security</x:v>
      </x:c>
      <x:c r="F9" s="14" t="str">
        <x:v>Security, access control and maintainability</x:v>
      </x:c>
    </x:row>
  </x:sheetData>
  <x:pageMargins left="0.7" right="0.7" top="0.75" bottom="0.75" header="0.3" footer="0.3"/>
  <x:tableParts count="1">
    <x:tablePart xmlns:r="http://schemas.openxmlformats.org/officeDocument/2006/relationships" r:id="R4ba250fc00ef4a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58" hidden="0" customWidth="1"/>
    <x:col min="9" max="9" width="24" hidden="0" customWidth="1"/>
  </x:cols>
  <x:sheetData>
    <x:row r="1">
      <x:c r="A1" s="18" t="str">
        <x:v>Risk_ID</x:v>
      </x:c>
      <x:c r="B1" s="18" t="str">
        <x:v>Risk</x:v>
      </x:c>
      <x:c r="C1" s="18" t="str">
        <x:v>Description</x:v>
      </x:c>
      <x:c r="D1" s="18" t="str">
        <x:v>Likelihood_1_5</x:v>
      </x:c>
      <x:c r="E1" s="18" t="str">
        <x:v>Impact_1_5</x:v>
      </x:c>
      <x:c r="F1" s="18" t="str">
        <x:v>Risk_Score</x:v>
      </x:c>
      <x:c r="G1" s="18" t="str">
        <x:v>Rating</x:v>
      </x:c>
      <x:c r="H1" s="18" t="str">
        <x:v>Mitigation</x:v>
      </x:c>
      <x:c r="I1" s="18" t="str">
        <x:v>Owner</x:v>
      </x:c>
    </x:row>
    <x:row r="2">
      <x:c r="A2" s="14" t="str">
        <x:v>R-01</x:v>
      </x:c>
      <x:c r="B2" s="14" t="str">
        <x:v>Data privacy</x:v>
      </x:c>
      <x:c r="C2" s="14" t="str">
        <x:v>Sensitive employee or customer data may be exposed to an AI service.</x:v>
      </x:c>
      <x:c r="D2" s="14" t="n">
        <x:v>3</x:v>
      </x:c>
      <x:c r="E2" s="14" t="n">
        <x:v>5</x:v>
      </x:c>
      <x:c r="F2" s="14" t="n">
        <x:f>D2*E2</x:f>
        <x:v>15</x:v>
      </x:c>
      <x:c r="G2" s="14" t="str">
        <x:v>High</x:v>
      </x:c>
      <x:c r="H2" s="14" t="str">
        <x:v>Data minimization, approved tools, access controls and privacy review.</x:v>
      </x:c>
      <x:c r="I2" s="14" t="str">
        <x:v>Data Protection / IT</x:v>
      </x:c>
    </x:row>
    <x:row r="3">
      <x:c r="A3" s="14" t="str">
        <x:v>R-02</x:v>
      </x:c>
      <x:c r="B3" s="14" t="str">
        <x:v>Hallucinated or incorrect output</x:v>
      </x:c>
      <x:c r="C3" s="14" t="str">
        <x:v>GenAI tools may produce plausible but incorrect answers.</x:v>
      </x:c>
      <x:c r="D3" s="14" t="n">
        <x:v>4</x:v>
      </x:c>
      <x:c r="E3" s="14" t="n">
        <x:v>4</x:v>
      </x:c>
      <x:c r="F3" s="14" t="n">
        <x:f>D3*E3</x:f>
        <x:v>16</x:v>
      </x:c>
      <x:c r="G3" s="14" t="str">
        <x:v>High</x:v>
      </x:c>
      <x:c r="H3" s="14" t="str">
        <x:v>Source grounding, citations, confidence thresholds and human review.</x:v>
      </x:c>
      <x:c r="I3" s="14" t="str">
        <x:v>Process Owner / IT</x:v>
      </x:c>
    </x:row>
    <x:row r="4">
      <x:c r="A4" s="14" t="str">
        <x:v>R-03</x:v>
      </x:c>
      <x:c r="B4" s="14" t="str">
        <x:v>Bias and fairness</x:v>
      </x:c>
      <x:c r="C4" s="14" t="str">
        <x:v>AI-assisted people decisions may disadvantage certain groups.</x:v>
      </x:c>
      <x:c r="D4" s="14" t="n">
        <x:v>3</x:v>
      </x:c>
      <x:c r="E4" s="14" t="n">
        <x:v>5</x:v>
      </x:c>
      <x:c r="F4" s="14" t="n">
        <x:f>D4*E4</x:f>
        <x:v>15</x:v>
      </x:c>
      <x:c r="G4" s="14" t="str">
        <x:v>High</x:v>
      </x:c>
      <x:c r="H4" s="14" t="str">
        <x:v>Keep human decision authority, test outcomes, document limitations.</x:v>
      </x:c>
      <x:c r="I4" s="14" t="str">
        <x:v>HR / Legal</x:v>
      </x:c>
    </x:row>
    <x:row r="5">
      <x:c r="A5" s="14" t="str">
        <x:v>R-04</x:v>
      </x:c>
      <x:c r="B5" s="14" t="str">
        <x:v>Information security</x:v>
      </x:c>
      <x:c r="C5" s="14" t="str">
        <x:v>Enterprise data could be leaked through prompts, connectors or weak permissions.</x:v>
      </x:c>
      <x:c r="D5" s="14" t="n">
        <x:v>3</x:v>
      </x:c>
      <x:c r="E5" s="14" t="n">
        <x:v>5</x:v>
      </x:c>
      <x:c r="F5" s="14" t="n">
        <x:f>D5*E5</x:f>
        <x:v>15</x:v>
      </x:c>
      <x:c r="G5" s="14" t="str">
        <x:v>High</x:v>
      </x:c>
      <x:c r="H5" s="14" t="str">
        <x:v>Private deployment options, least-privilege access and security testing.</x:v>
      </x:c>
      <x:c r="I5" s="14" t="str">
        <x:v>Information Security</x:v>
      </x:c>
    </x:row>
    <x:row r="6">
      <x:c r="A6" s="14" t="str">
        <x:v>R-05</x:v>
      </x:c>
      <x:c r="B6" s="14" t="str">
        <x:v>Poor source-data quality</x:v>
      </x:c>
      <x:c r="C6" s="14" t="str">
        <x:v>Incomplete or inconsistent data can reduce model performance.</x:v>
      </x:c>
      <x:c r="D6" s="14" t="n">
        <x:v>4</x:v>
      </x:c>
      <x:c r="E6" s="14" t="n">
        <x:v>4</x:v>
      </x:c>
      <x:c r="F6" s="14" t="n">
        <x:f>D6*E6</x:f>
        <x:v>16</x:v>
      </x:c>
      <x:c r="G6" s="14" t="str">
        <x:v>High</x:v>
      </x:c>
      <x:c r="H6" s="14" t="str">
        <x:v>Data-quality checks, clear data ownership and pilot baselines.</x:v>
      </x:c>
      <x:c r="I6" s="14" t="str">
        <x:v>Data Owner</x:v>
      </x:c>
    </x:row>
    <x:row r="7">
      <x:c r="A7" s="14" t="str">
        <x:v>R-06</x:v>
      </x:c>
      <x:c r="B7" s="14" t="str">
        <x:v>Low user adoption</x:v>
      </x:c>
      <x:c r="C7" s="14" t="str">
        <x:v>Employees may avoid the tool if it does not fit the real workflow.</x:v>
      </x:c>
      <x:c r="D7" s="14" t="n">
        <x:v>3</x:v>
      </x:c>
      <x:c r="E7" s="14" t="n">
        <x:v>4</x:v>
      </x:c>
      <x:c r="F7" s="14" t="n">
        <x:f>D7*E7</x:f>
        <x:v>12</x:v>
      </x:c>
      <x:c r="G7" s="14" t="str">
        <x:v>Medium</x:v>
      </x:c>
      <x:c r="H7" s="14" t="str">
        <x:v>Co-design pilots with users, training, feedback loops and simple UX.</x:v>
      </x:c>
      <x:c r="I7" s="14" t="str">
        <x:v>Change Lead / Process Owner</x:v>
      </x:c>
    </x:row>
    <x:row r="8">
      <x:c r="A8" s="14" t="str">
        <x:v>R-07</x:v>
      </x:c>
      <x:c r="B8" s="14" t="str">
        <x:v>Integration complexity</x:v>
      </x:c>
      <x:c r="C8" s="14" t="str">
        <x:v>Connecting AI tools to ERP, CRM or OT systems may take longer than expected.</x:v>
      </x:c>
      <x:c r="D8" s="14" t="n">
        <x:v>3</x:v>
      </x:c>
      <x:c r="E8" s="14" t="n">
        <x:v>4</x:v>
      </x:c>
      <x:c r="F8" s="14" t="n">
        <x:f>D8*E8</x:f>
        <x:v>12</x:v>
      </x:c>
      <x:c r="G8" s="14" t="str">
        <x:v>Medium</x:v>
      </x:c>
      <x:c r="H8" s="14" t="str">
        <x:v>Start with low-integration pilots and validate interfaces early.</x:v>
      </x:c>
      <x:c r="I8" s="14" t="str">
        <x:v>IT Architecture</x:v>
      </x:c>
    </x:row>
    <x:row r="9">
      <x:c r="A9" s="14" t="str">
        <x:v>R-08</x:v>
      </x:c>
      <x:c r="B9" s="14" t="str">
        <x:v>Vendor dependency</x:v>
      </x:c>
      <x:c r="C9" s="14" t="str">
        <x:v>A solution may become hard to move or expensive to scale.</x:v>
      </x:c>
      <x:c r="D9" s="14" t="n">
        <x:v>2</x:v>
      </x:c>
      <x:c r="E9" s="14" t="n">
        <x:v>4</x:v>
      </x:c>
      <x:c r="F9" s="14" t="n">
        <x:f>D9*E9</x:f>
        <x:v>8</x:v>
      </x:c>
      <x:c r="G9" s="14" t="str">
        <x:v>Medium</x:v>
      </x:c>
      <x:c r="H9" s="14" t="str">
        <x:v>Prefer modular architecture, exportable data and contract review.</x:v>
      </x:c>
      <x:c r="I9" s="14" t="str">
        <x:v>IT / Procurement</x:v>
      </x:c>
    </x:row>
  </x:sheetData>
  <x:conditionalFormatting sqref="F2:F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e4d90e4f99945a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38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8" t="str">
        <x:v>Enterprise AI Transformation - Executive Overview</x:v>
      </x:c>
      <x:c r="B1" s="48"/>
      <x:c r="C1" s="48"/>
      <x:c r="D1" s="48"/>
      <x:c r="E1" s="48"/>
      <x:c r="F1" s="48"/>
      <x:c r="G1" s="48"/>
      <x:c r="H1" s="48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18" t="str">
        <x:v>PORTFOLIO SNAPSHOT</x:v>
      </x:c>
      <x:c r="B4" s="18" t="str"/>
      <x:c r="C4" s="18" t="str"/>
      <x:c r="D4" s="18" t="str"/>
      <x:c r="E4" s="18" t="str"/>
      <x:c r="F4" s="18" t="str"/>
      <x:c r="G4" s="18" t="str"/>
      <x:c r="H4" s="18" t="str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0" t="str">
        <x:v>Use Cases Assessed</x:v>
      </x:c>
      <x:c r="B6" s="49" t="n">
        <x:f>COUNTA(Prioritization!A2:A25)</x:f>
        <x:v>24</x:v>
      </x:c>
      <x:c r="C6" s="14"/>
      <x:c r="D6" s="10" t="str">
        <x:v>Estimated Annual Value of High-Priority Cases (kEUR)</x:v>
      </x:c>
      <x:c r="E6" s="49" t="n">
        <x:f>SUMIF(Prioritization!L2:L25,"High",Use_Cases!K2:K25)</x:f>
        <x:v>1520</x:v>
      </x:c>
      <x:c r="F6" s="14"/>
      <x:c r="G6" s="14"/>
      <x:c r="H6" s="14"/>
    </x:row>
    <x:row r="7">
      <x:c r="A7" s="10" t="str">
        <x:v>Departments</x:v>
      </x:c>
      <x:c r="B7" s="49" t="n">
        <x:v>8</x:v>
      </x:c>
      <x:c r="C7" s="14"/>
      <x:c r="D7" s="10" t="str">
        <x:v>Estimated Cost of High-Priority Cases (kEUR)</x:v>
      </x:c>
      <x:c r="E7" s="49" t="n">
        <x:f>SUMIF(Prioritization!L2:L25,"High",Use_Cases!L2:L25)</x:f>
        <x:v>500</x:v>
      </x:c>
      <x:c r="F7" s="14"/>
      <x:c r="G7" s="14"/>
      <x:c r="H7" s="14"/>
    </x:row>
    <x:row r="8">
      <x:c r="A8" s="10" t="str">
        <x:v>High-Priority Opportunities</x:v>
      </x:c>
      <x:c r="B8" s="49" t="n">
        <x:f>COUNTIF(Prioritization!L2:L25,"High")</x:f>
        <x:v>8</x:v>
      </x:c>
      <x:c r="C8" s="14"/>
      <x:c r="D8" s="10" t="str">
        <x:v>Average Priority Score</x:v>
      </x:c>
      <x:c r="E8" s="50" t="n">
        <x:f>SUM(Prioritization!K2:K25)/COUNTA(Prioritization!K2:K25)</x:f>
        <x:v>74.58333333333333</x:v>
      </x:c>
      <x:c r="F8" s="14"/>
      <x:c r="G8" s="14"/>
      <x:c r="H8" s="14"/>
    </x:row>
    <x:row r="9">
      <x:c r="A9" s="10" t="str">
        <x:v>Quick Wins</x:v>
      </x:c>
      <x:c r="B9" s="49" t="n">
        <x:f>COUNTIF(Prioritization!M2:M25,"Yes")</x:f>
        <x:v>8</x:v>
      </x:c>
      <x:c r="C9" s="14"/>
      <x:c r="D9" s="10" t="str">
        <x:v>Highest-Scoring Use Case</x:v>
      </x:c>
      <x:c r="E9" s="49" t="str">
        <x:v>Invoice Processing Automation</x:v>
      </x:c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8" t="str">
        <x:v>PRIORITIZATION LOGIC</x:v>
      </x:c>
      <x:c r="B12" s="18"/>
      <x:c r="C12" s="18"/>
      <x:c r="D12" s="18"/>
      <x:c r="E12" s="18"/>
      <x:c r="F12" s="18"/>
      <x:c r="G12" s="18"/>
      <x:c r="H12" s="18"/>
    </x:row>
    <x:row r="13">
      <x:c r="A13" s="42" t="str">
        <x:v>Priority Score (0-100) = 30% Business Value + 20% Feasibility + 15% Data Readiness + 15% Ease of Implementation + 10% Risk Advantage + 10% ROI Attractiveness. The model is intentionally simple enough to explain and challenge in a workshop; it is not presented as a universal AI valuation formula.</x:v>
      </x:c>
      <x:c r="B13" s="42"/>
      <x:c r="C13" s="42"/>
      <x:c r="D13" s="42"/>
      <x:c r="E13" s="42"/>
      <x:c r="F13" s="42"/>
      <x:c r="G13" s="42"/>
      <x:c r="H13" s="42"/>
    </x:row>
    <x:row r="14">
      <x:c r="A14" s="42"/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8" t="str">
        <x:v>Department</x:v>
      </x:c>
      <x:c r="B18" s="18" t="str">
        <x:v>Average Priority Score</x:v>
      </x:c>
      <x:c r="C18" s="14"/>
      <x:c r="D18" s="14"/>
      <x:c r="E18" s="14"/>
      <x:c r="F18" s="14"/>
      <x:c r="G18" s="14"/>
      <x:c r="H18" s="14"/>
    </x:row>
    <x:row r="19">
      <x:c r="A19" s="14" t="str">
        <x:v>Finance</x:v>
      </x:c>
      <x:c r="B19" s="32" t="n">
        <x:f>Department_Summary!C2</x:f>
        <x:v>76.66666666666667</x:v>
      </x:c>
      <x:c r="C19" s="14"/>
      <x:c r="D19" s="14"/>
      <x:c r="E19" s="14"/>
      <x:c r="F19" s="14"/>
      <x:c r="G19" s="14"/>
      <x:c r="H19" s="14"/>
    </x:row>
    <x:row r="20">
      <x:c r="A20" s="14" t="str">
        <x:v>HR</x:v>
      </x:c>
      <x:c r="B20" s="32" t="n">
        <x:f>Department_Summary!C3</x:f>
        <x:v>68.33333333333333</x:v>
      </x:c>
      <x:c r="C20" s="14"/>
      <x:c r="D20" s="14"/>
      <x:c r="E20" s="14"/>
      <x:c r="F20" s="14"/>
      <x:c r="G20" s="14"/>
      <x:c r="H20" s="14"/>
    </x:row>
    <x:row r="21">
      <x:c r="A21" s="14" t="str">
        <x:v>Procurement</x:v>
      </x:c>
      <x:c r="B21" s="32" t="n">
        <x:f>Department_Summary!C4</x:f>
        <x:v>75</x:v>
      </x:c>
      <x:c r="C21" s="14"/>
      <x:c r="D21" s="14"/>
      <x:c r="E21" s="14"/>
      <x:c r="F21" s="14"/>
      <x:c r="G21" s="14"/>
      <x:c r="H21" s="14"/>
    </x:row>
    <x:row r="22">
      <x:c r="A22" s="14" t="str">
        <x:v>Customer Service</x:v>
      </x:c>
      <x:c r="B22" s="32" t="n">
        <x:f>Department_Summary!C5</x:f>
        <x:v>84.66666666666667</x:v>
      </x:c>
      <x:c r="C22" s="14"/>
      <x:c r="D22" s="14"/>
      <x:c r="E22" s="14"/>
      <x:c r="F22" s="14"/>
      <x:c r="G22" s="14"/>
      <x:c r="H22" s="14"/>
    </x:row>
    <x:row r="23">
      <x:c r="A23" s="14" t="str">
        <x:v>Supply Chain</x:v>
      </x:c>
      <x:c r="B23" s="32" t="n">
        <x:f>Department_Summary!C6</x:f>
        <x:v>72</x:v>
      </x:c>
      <x:c r="C23" s="14"/>
      <x:c r="D23" s="14"/>
      <x:c r="E23" s="14"/>
      <x:c r="F23" s="14"/>
      <x:c r="G23" s="14"/>
      <x:c r="H23" s="14"/>
    </x:row>
    <x:row r="24">
      <x:c r="A24" s="14" t="str">
        <x:v>Sales</x:v>
      </x:c>
      <x:c r="B24" s="32" t="n">
        <x:f>Department_Summary!C7</x:f>
        <x:v>73</x:v>
      </x:c>
      <x:c r="C24" s="14"/>
      <x:c r="D24" s="14"/>
      <x:c r="E24" s="14"/>
      <x:c r="F24" s="14"/>
      <x:c r="G24" s="14"/>
      <x:c r="H24" s="14"/>
    </x:row>
    <x:row r="25">
      <x:c r="A25" s="14" t="str">
        <x:v>Operations</x:v>
      </x:c>
      <x:c r="B25" s="32" t="n">
        <x:f>Department_Summary!C8</x:f>
        <x:v>69.66666666666667</x:v>
      </x:c>
      <x:c r="C25" s="14"/>
      <x:c r="D25" s="14"/>
      <x:c r="E25" s="14"/>
      <x:c r="F25" s="14"/>
      <x:c r="G25" s="14"/>
      <x:c r="H25" s="14"/>
    </x:row>
    <x:row r="26">
      <x:c r="A26" s="14" t="str">
        <x:v>IT</x:v>
      </x:c>
      <x:c r="B26" s="32" t="n">
        <x:f>Department_Summary!C9</x:f>
        <x:v>77.33333333333333</x:v>
      </x:c>
      <x:c r="C26" s="14"/>
      <x:c r="D26" s="14"/>
      <x:c r="E26" s="14"/>
      <x:c r="F26" s="14"/>
      <x:c r="G26" s="14"/>
      <x:c r="H26" s="14"/>
    </x:row>
    <x:row r="27">
      <x:c r="A27" s="14"/>
      <x:c r="B27" s="14"/>
      <x:c r="C27" s="14"/>
      <x:c r="D27" s="14"/>
      <x:c r="E27" s="14"/>
      <x:c r="F27" s="14"/>
      <x:c r="G27" s="14"/>
      <x:c r="H27" s="14"/>
    </x:row>
    <x:row r="28">
      <x:c r="A28" s="14"/>
      <x:c r="B28" s="14"/>
      <x:c r="C28" s="14"/>
      <x:c r="D28" s="14"/>
      <x:c r="E28" s="14"/>
      <x:c r="F28" s="14"/>
      <x:c r="G28" s="14"/>
      <x:c r="H28" s="14"/>
    </x:row>
    <x:row r="29">
      <x:c r="A29" s="14"/>
      <x:c r="B29" s="14"/>
      <x:c r="C29" s="14"/>
      <x:c r="D29" s="14"/>
      <x:c r="E29" s="14"/>
      <x:c r="F29" s="14"/>
      <x:c r="G29" s="14"/>
      <x:c r="H29" s="14"/>
    </x:row>
    <x:row r="30">
      <x:c r="A30" s="14"/>
      <x:c r="B30" s="14"/>
      <x:c r="C30" s="14"/>
      <x:c r="D30" s="14"/>
      <x:c r="E30" s="14"/>
      <x:c r="F30" s="14"/>
      <x:c r="G30" s="14"/>
      <x:c r="H30" s="14"/>
    </x:row>
    <x:row r="31">
      <x:c r="A31" s="14"/>
      <x:c r="B31" s="14"/>
      <x:c r="C31" s="14"/>
      <x:c r="D31" s="14"/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14"/>
      <x:c r="B33" s="14"/>
      <x:c r="C33" s="14"/>
      <x:c r="D33" s="14"/>
      <x:c r="E33" s="14"/>
      <x:c r="F33" s="14"/>
      <x:c r="G33" s="14"/>
      <x:c r="H33" s="14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8" t="str">
        <x:v>STUDENT TAKEAWAY</x:v>
      </x:c>
      <x:c r="B35" s="18"/>
      <x:c r="C35" s="18"/>
      <x:c r="D35" s="18"/>
      <x:c r="E35" s="18"/>
      <x:c r="F35" s="18"/>
      <x:c r="G35" s="18"/>
      <x:c r="H35" s="18"/>
    </x:row>
    <x:row r="36">
      <x:c r="A36" s="42" t="str">
        <x:v>The main takeaway is that the highest-value AI ideas are not always the best first projects. The first wave should favor use cases with clear business ownership, usable data, manageable risk and a measurable pilot outcome. More complex opportunities such as predictive maintenance can remain on the roadmap while simpler workflow and knowledge use cases build experience.</x:v>
      </x:c>
      <x:c r="B36" s="42"/>
      <x:c r="C36" s="42"/>
      <x:c r="D36" s="42"/>
      <x:c r="E36" s="42"/>
      <x:c r="F36" s="42"/>
      <x:c r="G36" s="42"/>
      <x:c r="H36" s="42"/>
    </x:row>
    <x:row r="37">
      <x:c r="A37" s="42"/>
      <x:c r="B37" s="42"/>
      <x:c r="C37" s="42"/>
      <x:c r="D37" s="42"/>
      <x:c r="E37" s="42"/>
      <x:c r="F37" s="42"/>
      <x:c r="G37" s="42"/>
      <x:c r="H37" s="42"/>
    </x:row>
    <x:row r="38">
      <x:c r="A38" s="42"/>
      <x:c r="B38" s="42"/>
      <x:c r="C38" s="42"/>
      <x:c r="D38" s="42"/>
      <x:c r="E38" s="42"/>
      <x:c r="F38" s="42"/>
      <x:c r="G38" s="42"/>
      <x:c r="H38" s="42"/>
    </x:row>
    <x:row r="39">
      <x:c r="A39" s="42"/>
      <x:c r="B39" s="42"/>
      <x:c r="C39" s="42"/>
      <x:c r="D39" s="42"/>
      <x:c r="E39" s="42"/>
      <x:c r="F39" s="42"/>
      <x:c r="G39" s="42"/>
      <x:c r="H39" s="42"/>
    </x:row>
    <x:row r="40">
      <x:c r="A40" s="14"/>
      <x:c r="B40" s="14"/>
      <x:c r="C40" s="14"/>
      <x:c r="D40" s="14"/>
      <x:c r="E40" s="14"/>
      <x:c r="F40" s="14"/>
      <x:c r="G40" s="14"/>
      <x:c r="H40" s="14"/>
    </x:row>
  </x:sheetData>
  <x:mergeCells>
    <x:mergeCell ref="A1:H2"/>
    <x:mergeCell ref="A4:H4"/>
    <x:mergeCell ref="A12:H12"/>
    <x:mergeCell ref="A13:H15"/>
    <x:mergeCell ref="A35:H35"/>
    <x:mergeCell ref="A36:H39"/>
  </x:mergeCells>
  <x:pageMargins left="0.7" right="0.7" top="0.75" bottom="0.75" header="0.3" footer="0.3"/>
  <x:drawing xmlns:r="http://schemas.openxmlformats.org/officeDocument/2006/relationships" r:id="R276cdeda0fb34049"/>
</x:worksheet>
</file>